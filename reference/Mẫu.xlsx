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F:\DATA_P4F6M596\"/>
    </mc:Choice>
  </mc:AlternateContent>
  <xr:revisionPtr revIDLastSave="0" documentId="8_{F8D7B426-5A54-48DE-9124-5C46FBE1DFC3}" xr6:coauthVersionLast="47" xr6:coauthVersionMax="47" xr10:uidLastSave="{00000000-0000-0000-0000-000000000000}"/>
  <bookViews>
    <workbookView xWindow="-120" yWindow="-120" windowWidth="38640" windowHeight="21240" tabRatio="924" activeTab="4" xr2:uid="{00000000-000D-0000-FFFF-FFFF00000000}"/>
  </bookViews>
  <sheets>
    <sheet name="KH vốn" sheetId="20" r:id="rId1"/>
    <sheet name="Vốn" sheetId="7" r:id="rId2"/>
    <sheet name="QĐ" sheetId="22" r:id="rId3"/>
    <sheet name="Tổng hợp" sheetId="16" r:id="rId4"/>
    <sheet name="Vị trí 1" sheetId="4" r:id="rId5"/>
    <sheet name="Thông tri" sheetId="36" r:id="rId6"/>
    <sheet name="KS chi" sheetId="37" r:id="rId7"/>
    <sheet name="GĐNTT" sheetId="31" r:id="rId8"/>
    <sheet name="Quyết toán năm" sheetId="38" r:id="rId9"/>
  </sheets>
  <externalReferences>
    <externalReference r:id="rId10"/>
    <externalReference r:id="rId11"/>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31" l="1"/>
  <c r="H18" i="31"/>
  <c r="D18" i="31"/>
  <c r="A18" i="31"/>
  <c r="C13" i="37"/>
  <c r="D13" i="37" s="1"/>
  <c r="C7" i="37"/>
  <c r="D9" i="16"/>
  <c r="P12" i="4"/>
  <c r="P10" i="4"/>
  <c r="N12" i="4"/>
  <c r="H17" i="36"/>
  <c r="G17" i="36"/>
  <c r="B22" i="37" s="1"/>
  <c r="K10" i="4"/>
  <c r="N10" i="4" s="1"/>
  <c r="O10" i="4" s="1"/>
  <c r="K11" i="4"/>
  <c r="N11" i="4" s="1"/>
  <c r="O11" i="4" s="1"/>
  <c r="C17" i="37" l="1"/>
  <c r="D17" i="37" s="1"/>
  <c r="D7" i="37"/>
  <c r="H16" i="36"/>
  <c r="H18" i="36"/>
  <c r="A18" i="37"/>
  <c r="H15" i="36" l="1"/>
  <c r="H24" i="36" l="1"/>
  <c r="C25" i="36"/>
  <c r="I19" i="31" l="1"/>
  <c r="I20" i="31" s="1"/>
  <c r="I26" i="31" s="1"/>
  <c r="D19" i="31"/>
  <c r="B21" i="31"/>
  <c r="V8" i="16" l="1"/>
  <c r="S11" i="16"/>
  <c r="U10" i="16"/>
  <c r="U15" i="16"/>
  <c r="U19" i="16"/>
  <c r="T8" i="16"/>
  <c r="R18" i="16" l="1"/>
  <c r="U18" i="16" s="1"/>
  <c r="S8" i="16"/>
  <c r="S20" i="16" s="1"/>
  <c r="S23" i="16" s="1"/>
  <c r="R21" i="16" l="1"/>
  <c r="U21" i="16" s="1"/>
  <c r="Q10" i="16" l="1"/>
  <c r="Q14" i="16"/>
  <c r="R16" i="16" l="1"/>
  <c r="U16" i="16" s="1"/>
  <c r="Q8" i="4" l="1"/>
  <c r="R14" i="4"/>
  <c r="R13" i="16" l="1"/>
  <c r="Q14" i="4"/>
  <c r="Q7" i="4" s="1"/>
  <c r="R12" i="16" l="1"/>
  <c r="U12" i="16" s="1"/>
  <c r="U13" i="16"/>
  <c r="R9" i="16" l="1"/>
  <c r="U9" i="16" s="1"/>
  <c r="R8" i="4" l="1"/>
  <c r="R7" i="4" s="1"/>
  <c r="I8" i="4" l="1"/>
  <c r="H8" i="4"/>
  <c r="R14" i="16" l="1"/>
  <c r="U14" i="16" s="1"/>
  <c r="O8" i="4" l="1"/>
  <c r="I14" i="4" l="1"/>
  <c r="J14" i="4"/>
  <c r="L16" i="4"/>
  <c r="O16" i="4" l="1"/>
  <c r="P16" i="4"/>
  <c r="R11" i="16" l="1"/>
  <c r="U11" i="16"/>
  <c r="U8" i="16" s="1"/>
  <c r="R8" i="16"/>
  <c r="L8" i="4" l="1"/>
  <c r="L14" i="4"/>
  <c r="L7" i="4" l="1"/>
  <c r="K8" i="16"/>
  <c r="K9" i="16"/>
  <c r="N8" i="16"/>
  <c r="O14" i="4" l="1"/>
  <c r="O7" i="4" s="1"/>
  <c r="P14" i="4" l="1"/>
  <c r="P8" i="4"/>
  <c r="P7" i="4" s="1"/>
  <c r="D15" i="22" l="1"/>
  <c r="E15" i="22"/>
  <c r="F15" i="22"/>
  <c r="G15" i="22"/>
  <c r="H15" i="22"/>
  <c r="K15" i="22"/>
  <c r="J15" i="22"/>
  <c r="R17" i="16" l="1"/>
  <c r="U17" i="16"/>
  <c r="R20" i="16"/>
  <c r="U20" i="16" l="1"/>
  <c r="U22" i="16" s="1"/>
  <c r="R22" i="16"/>
  <c r="S24" i="16" s="1"/>
  <c r="K14" i="4" l="1"/>
  <c r="I15" i="22" l="1"/>
  <c r="N20" i="16" l="1"/>
  <c r="P8" i="16" l="1"/>
  <c r="P20" i="16" s="1"/>
  <c r="J8" i="4" l="1"/>
  <c r="K8" i="4" l="1"/>
  <c r="I16" i="4"/>
  <c r="I7" i="4" s="1"/>
  <c r="J16" i="4"/>
  <c r="J7" i="4" s="1"/>
  <c r="G9" i="16" s="1"/>
  <c r="K16" i="4"/>
  <c r="F9" i="16" l="1"/>
  <c r="F18" i="31"/>
  <c r="F19" i="31" s="1"/>
  <c r="K7" i="4"/>
  <c r="J9" i="16" s="1"/>
  <c r="F8" i="4"/>
  <c r="H14" i="4"/>
  <c r="E16" i="4"/>
  <c r="E14" i="4"/>
  <c r="E8" i="4"/>
  <c r="M14" i="4" l="1"/>
  <c r="N14" i="4"/>
  <c r="D20" i="16"/>
  <c r="M8" i="4"/>
  <c r="N8" i="4"/>
  <c r="H16" i="4"/>
  <c r="H7" i="4" s="1"/>
  <c r="E9" i="16" s="1"/>
  <c r="M16" i="4" l="1"/>
  <c r="M7" i="4" s="1"/>
  <c r="I9" i="16" s="1"/>
  <c r="N16" i="4"/>
  <c r="N7" i="4" s="1"/>
  <c r="H9" i="16" l="1"/>
  <c r="L9" i="16"/>
  <c r="M8" i="16"/>
  <c r="M20" i="16" s="1"/>
  <c r="H8" i="16" l="1"/>
  <c r="G8" i="16"/>
  <c r="J8" i="16"/>
  <c r="E8" i="16"/>
  <c r="F8" i="16"/>
  <c r="L8" i="16" l="1"/>
  <c r="I8" i="16"/>
  <c r="J20" i="7"/>
  <c r="O8" i="16" l="1"/>
  <c r="O20" i="16" s="1"/>
  <c r="K20" i="7" l="1"/>
  <c r="K20" i="16" l="1"/>
  <c r="H20" i="16" l="1"/>
  <c r="G20" i="16" l="1"/>
  <c r="F20" i="16"/>
  <c r="I20" i="16" l="1"/>
  <c r="E20" i="16"/>
  <c r="L20" i="16" l="1"/>
  <c r="J20"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0" authorId="0" shapeId="0" xr:uid="{00000000-0006-0000-0000-000001000000}">
      <text>
        <r>
          <rPr>
            <b/>
            <sz val="9"/>
            <color indexed="81"/>
            <rFont val="Tahoma"/>
            <family val="2"/>
          </rPr>
          <t>Bộ đồng ý chuyển 8.282 tỷ, từ dự trữ ngoại hối sang Dự phòng NSTW</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DELL</author>
  </authors>
  <commentList>
    <comment ref="K7" authorId="0" shapeId="0" xr:uid="{00000000-0006-0000-0700-000001000000}">
      <text>
        <r>
          <rPr>
            <b/>
            <sz val="9"/>
            <color indexed="81"/>
            <rFont val="Tahoma"/>
            <family val="2"/>
          </rPr>
          <t>Admin:</t>
        </r>
        <r>
          <rPr>
            <sz val="9"/>
            <color indexed="81"/>
            <rFont val="Tahoma"/>
            <family val="2"/>
          </rPr>
          <t xml:space="preserve">
</t>
        </r>
        <r>
          <rPr>
            <b/>
            <sz val="12"/>
            <color indexed="81"/>
            <rFont val="Tahoma"/>
            <family val="2"/>
          </rPr>
          <t>759</t>
        </r>
      </text>
    </comment>
    <comment ref="L7" authorId="0" shapeId="0" xr:uid="{00000000-0006-0000-0700-000002000000}">
      <text>
        <r>
          <rPr>
            <b/>
            <sz val="12"/>
            <color indexed="81"/>
            <rFont val="Tahoma"/>
            <family val="2"/>
          </rPr>
          <t xml:space="preserve">Admin:
941
</t>
        </r>
      </text>
    </comment>
    <comment ref="I10" authorId="1" shapeId="0" xr:uid="{00000000-0006-0000-0700-000003000000}">
      <text>
        <r>
          <rPr>
            <b/>
            <sz val="9"/>
            <color indexed="81"/>
            <rFont val="Tahoma"/>
            <family val="2"/>
          </rPr>
          <t>Ngày 14/5/2024</t>
        </r>
      </text>
    </comment>
    <comment ref="H11" authorId="1" shapeId="0" xr:uid="{00000000-0006-0000-0700-000004000000}">
      <text>
        <r>
          <rPr>
            <b/>
            <sz val="9"/>
            <color indexed="81"/>
            <rFont val="Tahoma"/>
            <family val="2"/>
          </rPr>
          <t>Ngày 14/5/2024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17" authorId="0" shapeId="0" xr:uid="{53DAE280-6F1D-4A91-9E62-CBB857A3911E}">
      <text>
        <r>
          <rPr>
            <b/>
            <sz val="9"/>
            <color indexed="81"/>
            <rFont val="Tahoma"/>
          </rPr>
          <t>ADMIN:</t>
        </r>
        <r>
          <rPr>
            <sz val="9"/>
            <color indexed="81"/>
            <rFont val="Tahoma"/>
          </rPr>
          <t xml:space="preserve">
Nhập liệu ngoài</t>
        </r>
      </text>
    </comment>
  </commentList>
</comments>
</file>

<file path=xl/sharedStrings.xml><?xml version="1.0" encoding="utf-8"?>
<sst xmlns="http://schemas.openxmlformats.org/spreadsheetml/2006/main" count="291" uniqueCount="208">
  <si>
    <t>SỔ THEO DÕI ỨNG, THANH TOÁN TIỀN</t>
  </si>
  <si>
    <t>Nội dung</t>
  </si>
  <si>
    <t>Giá trị HĐ</t>
  </si>
  <si>
    <t>TT</t>
  </si>
  <si>
    <t>NỘI DUNG</t>
  </si>
  <si>
    <t>TỔNG CỘNG</t>
  </si>
  <si>
    <t>Tổng mức đầu tư (tỷ đồng)</t>
  </si>
  <si>
    <t>Tổng cộng</t>
  </si>
  <si>
    <t>TỔNG HỢP TỔNG MỨC ĐẦU TƯ VÀ THANH TOÁN VỐN ĐẦU TƯ KTS-23</t>
  </si>
  <si>
    <t>Năm 2023 (Tỷ đồng)</t>
  </si>
  <si>
    <t>Năm 2024 (Tỷ đồng)</t>
  </si>
  <si>
    <t>Năm 2025 (Tỷ đồng)</t>
  </si>
  <si>
    <t>Năm 2026 (Tỷ đồng)</t>
  </si>
  <si>
    <t>Năm 2027 (Tỷ đồng)</t>
  </si>
  <si>
    <t>Đơn vị Thi công (Nhà thầu)</t>
  </si>
  <si>
    <t>Tên dự án</t>
  </si>
  <si>
    <t>Tổng mức đầu tư</t>
  </si>
  <si>
    <t>Chi phí XD</t>
  </si>
  <si>
    <t>CP Dự phòng</t>
  </si>
  <si>
    <t>Dự phòng NSNN</t>
  </si>
  <si>
    <t>Mẫu số CQ06-HD</t>
  </si>
  <si>
    <t xml:space="preserve">                                    Số:……..…....……</t>
  </si>
  <si>
    <t>THÔNG TRI</t>
  </si>
  <si>
    <t xml:space="preserve">Đơn vị:                         </t>
  </si>
  <si>
    <t xml:space="preserve"> TK……………….………...…Đơn vị………..Số CT……..</t>
  </si>
  <si>
    <t xml:space="preserve"> TK………………………....…Đơn vị………..Số CT…….</t>
  </si>
  <si>
    <t>Tên CTMT, DA..................................................................... Mã số: ............................</t>
  </si>
  <si>
    <t>Đơn vị tính: Đồng</t>
  </si>
  <si>
    <t>Loại ngân sách</t>
  </si>
  <si>
    <t>Mục lục ngân sách</t>
  </si>
  <si>
    <t>SỐ TIỀN</t>
  </si>
  <si>
    <t>Mục</t>
  </si>
  <si>
    <t>Tiểu
mục</t>
  </si>
  <si>
    <t>Tiết
mục</t>
  </si>
  <si>
    <t>Ngành</t>
  </si>
  <si>
    <t>A</t>
  </si>
  <si>
    <t>B</t>
  </si>
  <si>
    <t>C</t>
  </si>
  <si>
    <t>D</t>
  </si>
  <si>
    <t>E</t>
  </si>
  <si>
    <t>F</t>
  </si>
  <si>
    <t>G</t>
  </si>
  <si>
    <t>Cộng</t>
  </si>
  <si>
    <t>Khoản</t>
  </si>
  <si>
    <t>Giá trị HĐXL đã ký</t>
  </si>
  <si>
    <t>28/11/23</t>
  </si>
  <si>
    <t>15/2/24</t>
  </si>
  <si>
    <t>I</t>
  </si>
  <si>
    <t>CHI PHÍ XÂY DỰNG</t>
  </si>
  <si>
    <t xml:space="preserve">II </t>
  </si>
  <si>
    <t>III</t>
  </si>
  <si>
    <t>CP TƯ VẤN ĐTXD</t>
  </si>
  <si>
    <t>Số TT</t>
  </si>
  <si>
    <t>Phụ lục HĐ 01/PLHĐ ngày 25/12/2023</t>
  </si>
  <si>
    <t>Số đã cấp ứng, thanh toán cho đơn vị thi công (đồng)</t>
  </si>
  <si>
    <t>Đơn vị thi công phân xây dựng</t>
  </si>
  <si>
    <t>Tổng số được cấp</t>
  </si>
  <si>
    <t>Tồn</t>
  </si>
  <si>
    <t>Cấp năm 2023</t>
  </si>
  <si>
    <t>Cấp năm 2024</t>
  </si>
  <si>
    <t>Tổng cộng số tiền đã thanh toán cho nhà thầu</t>
  </si>
  <si>
    <t>VNĐ</t>
  </si>
  <si>
    <t>Tỷ giá:</t>
  </si>
  <si>
    <t>14/5/24</t>
  </si>
  <si>
    <t>Thu hồi tạm ứng</t>
  </si>
  <si>
    <t>Thanh toán khối lượng hoàn thành</t>
  </si>
  <si>
    <t>Khối lượng hoàn thành</t>
  </si>
  <si>
    <t>Tạm ứng</t>
  </si>
  <si>
    <t>Tổng giá trị đã giải ngân</t>
  </si>
  <si>
    <t>Tạm ứng chưa thu hồi</t>
  </si>
  <si>
    <t>TT tiền cho nhà thầu</t>
  </si>
  <si>
    <t>TT Khối lượng hoàn thành</t>
  </si>
  <si>
    <t>Giá trị HĐ, PLHĐ Xây lắp</t>
  </si>
  <si>
    <t>Đơn vị thi công xây lắp</t>
  </si>
  <si>
    <t>24/6</t>
  </si>
  <si>
    <t xml:space="preserve">Phụ lục số </t>
  </si>
  <si>
    <t>Vượt nguồn dự phòng NSNN</t>
  </si>
  <si>
    <t>PHẦN GHI CỦA CƠ QUAN KIỂM SOÁT, THANH TOÁN</t>
  </si>
  <si>
    <t xml:space="preserve">Ngày nhận giấy đề nghị thanh toán vốn đầu tư:  </t>
  </si>
  <si>
    <t>TTKLHT</t>
  </si>
  <si>
    <t>theo nội dung sau:</t>
  </si>
  <si>
    <t>Đơn vị tính: đồng</t>
  </si>
  <si>
    <t>Tổng số</t>
  </si>
  <si>
    <t>Vốn trong nước</t>
  </si>
  <si>
    <t>Vốn nước ngoài</t>
  </si>
  <si>
    <t>Số vốn chấp nhận</t>
  </si>
  <si>
    <t xml:space="preserve"> + Mục ........, tiểu mục ........</t>
  </si>
  <si>
    <t>Trong đó:</t>
  </si>
  <si>
    <t xml:space="preserve"> + Số thu hồi tạm ứng</t>
  </si>
  <si>
    <t xml:space="preserve">  Các năm trước</t>
  </si>
  <si>
    <t xml:space="preserve">  Năm nay</t>
  </si>
  <si>
    <t xml:space="preserve"> + Thuế giá trị gia tăng</t>
  </si>
  <si>
    <t xml:space="preserve"> + Số trả đơn vị thụ hưởng</t>
  </si>
  <si>
    <t xml:space="preserve">Số từ chối: </t>
  </si>
  <si>
    <t>đồng</t>
  </si>
  <si>
    <t xml:space="preserve">Lý do từ chối: </t>
  </si>
  <si>
    <t xml:space="preserve"> </t>
  </si>
  <si>
    <t>Chi phí khác</t>
  </si>
  <si>
    <t>ĐVT: Đồng</t>
  </si>
  <si>
    <t>(Kèm theo QĐ số 93/QĐ-TTg ngày 3/11/2023 của Thủ tướng Chính phủ)</t>
  </si>
  <si>
    <t>Tỷ giá quy đổi: 1 USD = 23.610 VNĐ</t>
  </si>
  <si>
    <t>Tiến độ</t>
  </si>
  <si>
    <t>Tổng mức đầu tư USD</t>
  </si>
  <si>
    <t>Tổng mức đầu tư VNĐ</t>
  </si>
  <si>
    <t>Năm 2023</t>
  </si>
  <si>
    <t>Năm 2024</t>
  </si>
  <si>
    <t>Năm 2025</t>
  </si>
  <si>
    <t>Năm 2026</t>
  </si>
  <si>
    <t>Năm 2027</t>
  </si>
  <si>
    <t>Quỹ dự trữ ngoại hối</t>
  </si>
  <si>
    <t>Tổng mức đầu tư ( triệu USD)</t>
  </si>
  <si>
    <t>Tổng mức đầu tư (Tỷ VNĐ)</t>
  </si>
  <si>
    <t>CỘNG HOÀ XÃ HỘI CHỦ NGHĨA VIỆT NAM</t>
  </si>
  <si>
    <t>Độc lập - Tự do - Hạnh phúc</t>
  </si>
  <si>
    <t>GIẤY ĐỀ NGHỊ THANH TOÁN VỐN ĐẦU TƯ</t>
  </si>
  <si>
    <t xml:space="preserve"> - Tên dự án công trình:</t>
  </si>
  <si>
    <t>Dự toán duyệt hoặc giá trị trúng thầu hoặc giá trị HĐ</t>
  </si>
  <si>
    <t>Lũy kế số vốn đã T/Toán từ K/công đến cuối kỳ trước (Gồm cả tạm ứng)</t>
  </si>
  <si>
    <t>Số đề nghị tạm ứng, thanh toán KLHT kỳ này (Gồm cả tạm ứng)</t>
  </si>
  <si>
    <t>CỘNG</t>
  </si>
  <si>
    <t xml:space="preserve"> - Số tiền đề nghị:</t>
  </si>
  <si>
    <t xml:space="preserve"> Tạm ứng</t>
  </si>
  <si>
    <t>đến kỳ này:</t>
  </si>
  <si>
    <t xml:space="preserve"> - Tên đơn vị thụ hưởng:</t>
  </si>
  <si>
    <t xml:space="preserve"> - Tại:</t>
  </si>
  <si>
    <t>Trưởng phòng Tài chính</t>
  </si>
  <si>
    <t>Chủ đầu tư</t>
  </si>
  <si>
    <t>Giải ngân từ Quỹ dự trữ ngoại hối</t>
  </si>
  <si>
    <t>31/12/24</t>
  </si>
  <si>
    <t>Chi phí QLDA được phê duyệt theo các QĐ của BQP</t>
  </si>
  <si>
    <t>Tên Dự án</t>
  </si>
  <si>
    <t>Quyết định phê duyệt</t>
  </si>
  <si>
    <t>Trong đó</t>
  </si>
  <si>
    <t>Chi phí QLDA</t>
  </si>
  <si>
    <t>CP Tư vấn đầu tư XD</t>
  </si>
  <si>
    <t>Nguồn vốn</t>
  </si>
  <si>
    <t>Quy đổi</t>
  </si>
  <si>
    <t>Quỹ DTNH</t>
  </si>
  <si>
    <t>DPNSNN</t>
  </si>
  <si>
    <r>
      <rPr>
        <b/>
        <sz val="12"/>
        <rFont val="Times New Roman"/>
        <family val="1"/>
      </rPr>
      <t>Bằng chữ:</t>
    </r>
    <r>
      <rPr>
        <b/>
        <i/>
        <sz val="12"/>
        <rFont val="Times New Roman"/>
        <family val="1"/>
      </rPr>
      <t xml:space="preserve"> </t>
    </r>
  </si>
  <si>
    <t>Giải ngân từ Dự phòng NSNN</t>
  </si>
  <si>
    <t xml:space="preserve">Thanh toán </t>
  </si>
  <si>
    <t>Giải ngân từ dự phòng NSNN</t>
  </si>
  <si>
    <t>Kinh phí: NSNN</t>
  </si>
  <si>
    <t xml:space="preserve"> - Số dư tạm ứng của hạng mục đề nghị thanh toán:</t>
  </si>
  <si>
    <t xml:space="preserve"> - Thuộc kế hoạch:</t>
  </si>
  <si>
    <t xml:space="preserve"> - Tổng số tiền đề nghị tạm ứng, thanh toán bằng số:</t>
  </si>
  <si>
    <t xml:space="preserve"> - Thanh toán để thu hồi tạm ứng:</t>
  </si>
  <si>
    <t xml:space="preserve"> - Chuyển tiền bảo hành:</t>
  </si>
  <si>
    <t xml:space="preserve"> - Chuyển tiền tạm giữ chờ quyết toán:</t>
  </si>
  <si>
    <t xml:space="preserve"> - Số trả nhà thầu:</t>
  </si>
  <si>
    <t xml:space="preserve"> - Tài khoản:</t>
  </si>
  <si>
    <t xml:space="preserve"> - Thuộc nguồn vốn: </t>
  </si>
  <si>
    <t>Quyết toán năm 2026</t>
  </si>
  <si>
    <t>Ghi sổ ngày     tháng     năm 2026</t>
  </si>
  <si>
    <t xml:space="preserve"> - Bằng chữ:</t>
  </si>
  <si>
    <t xml:space="preserve">Ghi chú: </t>
  </si>
  <si>
    <t>KTS25</t>
  </si>
  <si>
    <t>Thanh toán thi công các hạng mục CTCĐ tại đảo NY. Dự án Nạo vét, cải tạo lòng hồ, luồng dẫn tàu, tạo mặt bằng các đảo thuộc Khu KTQP Trường Sa</t>
  </si>
  <si>
    <t>KẾ HOẠCH VỐN ĐẦU TƯ CHO CÁC DỰ ÁN THUỘC DỰ ÁN</t>
  </si>
  <si>
    <t>DỰ án A</t>
  </si>
  <si>
    <t>Cty 1</t>
  </si>
  <si>
    <t>Cty 2</t>
  </si>
  <si>
    <t>Vị trí 1</t>
  </si>
  <si>
    <t>Vị tí 2</t>
  </si>
  <si>
    <t>…..</t>
  </si>
  <si>
    <t>….</t>
  </si>
  <si>
    <t>Vị trí 10</t>
  </si>
  <si>
    <t>Tổng hợp các QĐ phê duyệt dự án …......</t>
  </si>
  <si>
    <t>Số  chứng từ</t>
  </si>
  <si>
    <t>Khác</t>
  </si>
  <si>
    <t xml:space="preserve">Dự án: </t>
  </si>
  <si>
    <t>Nguồn vốn: Quỹ dự trữ ngoại hối và Dự phòng NSNN (theo QĐ 9….................của Thủ Tướng CP)</t>
  </si>
  <si>
    <t>.</t>
  </si>
  <si>
    <t>Dự án…..</t>
  </si>
  <si>
    <t>Thanh toán KLHT, thu hồi tạm ứng theo HĐ số…. Cty a</t>
  </si>
  <si>
    <t>Vị trí 2</t>
  </si>
  <si>
    <t>Số      .............</t>
  </si>
  <si>
    <t>Đơn vị cấp trên</t>
  </si>
  <si>
    <t>Đơn vị cơ sở</t>
  </si>
  <si>
    <t>Về tháng      năm 2026</t>
  </si>
  <si>
    <t>….......</t>
  </si>
  <si>
    <t>Ngày        tháng    năm 2026</t>
  </si>
  <si>
    <t>Đơn vị…..</t>
  </si>
  <si>
    <t xml:space="preserve"> NGUỒN KINH PHÍ ĐÂU TƯ XD</t>
  </si>
  <si>
    <t>Dự án 1</t>
  </si>
  <si>
    <t>Tạm ứng lần 1 theo HĐ số…..</t>
  </si>
  <si>
    <t>Thanh toán KLHT, thu hồi tạm ứng theo HĐ số…</t>
  </si>
  <si>
    <t>Tạm ứng lần 2 theo HĐ số…..</t>
  </si>
  <si>
    <t>Quyết toán năm 2027</t>
  </si>
  <si>
    <t xml:space="preserve"> NSNN</t>
  </si>
  <si>
    <t xml:space="preserve">DTNH </t>
  </si>
  <si>
    <t>Cty A</t>
  </si>
  <si>
    <t>Đơn vị cấp cơ sở</t>
  </si>
  <si>
    <t xml:space="preserve">Số: </t>
  </si>
  <si>
    <t>Hải phòng, ngày     tháng   năm 2026</t>
  </si>
  <si>
    <t>Kính gửi: Tự nhập liệu</t>
  </si>
  <si>
    <t>( Có thể gõ tự ra nội dung hoặc tự nhập liệu)</t>
  </si>
  <si>
    <t xml:space="preserve"> - Chủ đầu tư/Ban QLDA:  Nhập liệu</t>
  </si>
  <si>
    <t xml:space="preserve"> - Căn cứ Quyết định số (nằm trong nội dung Quyết định);</t>
  </si>
  <si>
    <t xml:space="preserve"> - Căn cứ Hợp đồng số: (tự nhập liệu)</t>
  </si>
  <si>
    <t xml:space="preserve"> - Căn cứ giấy đề nghị thanh toán vốn đầu tư số (tự nhập liệu)</t>
  </si>
  <si>
    <t>( có thể gõ ra số liệu hoặc Tự nhập liệu)</t>
  </si>
  <si>
    <t>Số dư tạm ứng chính là tạm ứng chưa thu hồi</t>
  </si>
  <si>
    <t>Cty XL A</t>
  </si>
  <si>
    <t>Tài khoản ngân hàng</t>
  </si>
  <si>
    <t>='Vị trí 1'!D9</t>
  </si>
  <si>
    <t>Ngân hàng A ( Tự nhập)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</si>
</sst>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5" formatCode="00"/>
    <numFmt numFmtId="166" formatCode="&quot;0&quot;\1\1"/>
    <numFmt numFmtId="167" formatCode="&quot;0&quot;0"/>
    <numFmt numFmtId="168" formatCode="#,##0&quot;đ&quot;"/>
    <numFmt numFmtId="169" formatCode="m/d/yy"/>
    <numFmt numFmtId="170" formatCode="_(* #,##0_);_(* \(#,##0\);_(* &quot;-&quot;??_);_(@_)"/>
    <numFmt numFmtId="171" formatCode="_ * #,##0.00_)_$_ ;_ * \(#,##0.00\)_$_ ;_ * &quot;-&quot;??_)_$_ ;_ @_ "/>
    <numFmt numFmtId="172" formatCode="&quot;LËp ngµy &quot;dd&quot; th¸ng &quot;mm&quot; n¨m &quot;yyyy"/>
    <numFmt numFmtId="173" formatCode="#,##0\ &quot;đ&quot;"/>
  </numFmts>
  <fonts count="64" x14ac:knownFonts="1">
    <font>
      <sz val="11"/>
      <color theme="1"/>
      <name val="Calibri"/>
      <family val="2"/>
      <scheme val="minor"/>
    </font>
    <font>
      <sz val="14"/>
      <color theme="1"/>
      <name val="Times New Roman"/>
      <family val="1"/>
    </font>
    <font>
      <b/>
      <sz val="14"/>
      <color theme="1"/>
      <name val="Times New Roman"/>
      <family val="1"/>
    </font>
    <font>
      <b/>
      <sz val="13"/>
      <color theme="1"/>
      <name val="Times New Roman"/>
      <family val="1"/>
    </font>
    <font>
      <b/>
      <sz val="12"/>
      <color theme="1"/>
      <name val="Times New Roman"/>
      <family val="1"/>
    </font>
    <font>
      <sz val="12"/>
      <color theme="1"/>
      <name val="Times New Roman"/>
      <family val="1"/>
    </font>
    <font>
      <sz val="8"/>
      <name val="Calibri"/>
      <family val="2"/>
      <scheme val="minor"/>
    </font>
    <font>
      <sz val="10"/>
      <name val="Helv"/>
      <family val="2"/>
    </font>
    <font>
      <sz val="13"/>
      <name val="Times New Roman"/>
      <family val="1"/>
    </font>
    <font>
      <b/>
      <sz val="11"/>
      <name val="Times New Roman"/>
      <family val="1"/>
    </font>
    <font>
      <b/>
      <sz val="13"/>
      <name val="Times New Roman"/>
      <family val="1"/>
    </font>
    <font>
      <i/>
      <sz val="11"/>
      <name val="Times New Roman"/>
      <family val="1"/>
    </font>
    <font>
      <sz val="14"/>
      <name val="Times New Roman"/>
      <family val="1"/>
    </font>
    <font>
      <b/>
      <sz val="14"/>
      <name val="Times New Roman"/>
      <family val="1"/>
    </font>
    <font>
      <i/>
      <sz val="12"/>
      <name val="Times New Roman"/>
      <family val="1"/>
    </font>
    <font>
      <b/>
      <sz val="10"/>
      <name val="Times New Roman"/>
      <family val="1"/>
    </font>
    <font>
      <sz val="11"/>
      <name val="Times New Roman"/>
      <family val="1"/>
    </font>
    <font>
      <sz val="12"/>
      <name val="Times New Roman"/>
      <family val="1"/>
    </font>
    <font>
      <b/>
      <sz val="12"/>
      <name val="Times New Roman"/>
      <family val="1"/>
    </font>
    <font>
      <b/>
      <i/>
      <sz val="12"/>
      <name val="Times New Roman"/>
      <family val="1"/>
    </font>
    <font>
      <i/>
      <sz val="13"/>
      <name val="Times New Roman"/>
      <family val="1"/>
    </font>
    <font>
      <b/>
      <sz val="13.5"/>
      <name val="Times New Roman"/>
      <family val="1"/>
    </font>
    <font>
      <sz val="11"/>
      <color theme="1"/>
      <name val="Times New Roman"/>
      <family val="1"/>
    </font>
    <font>
      <b/>
      <sz val="11"/>
      <color theme="1"/>
      <name val="Times New Roman"/>
      <family val="1"/>
    </font>
    <font>
      <sz val="10"/>
      <color theme="1"/>
      <name val="Times New Roman"/>
      <family val="1"/>
    </font>
    <font>
      <sz val="14"/>
      <color rgb="FFFF0000"/>
      <name val="Times New Roman"/>
      <family val="1"/>
    </font>
    <font>
      <sz val="11"/>
      <color theme="1"/>
      <name val="Calibri"/>
      <family val="2"/>
      <scheme val="minor"/>
    </font>
    <font>
      <sz val="12"/>
      <color rgb="FFFF0000"/>
      <name val="Times New Roman"/>
      <family val="1"/>
    </font>
    <font>
      <sz val="10"/>
      <name val="Times New Roman"/>
      <family val="1"/>
    </font>
    <font>
      <sz val="9"/>
      <color indexed="81"/>
      <name val="Tahoma"/>
      <family val="2"/>
    </font>
    <font>
      <b/>
      <sz val="9"/>
      <color indexed="81"/>
      <name val="Tahoma"/>
      <family val="2"/>
    </font>
    <font>
      <b/>
      <sz val="10"/>
      <color theme="1"/>
      <name val="Times New Roman"/>
      <family val="1"/>
    </font>
    <font>
      <b/>
      <sz val="10"/>
      <color rgb="FFFF0000"/>
      <name val="Times New Roman"/>
      <family val="1"/>
    </font>
    <font>
      <sz val="10"/>
      <color theme="1"/>
      <name val=".VnArial Narrow"/>
      <family val="2"/>
    </font>
    <font>
      <sz val="10"/>
      <color rgb="FFFF0000"/>
      <name val="Times New Roman"/>
      <family val="1"/>
    </font>
    <font>
      <b/>
      <sz val="9"/>
      <color theme="1"/>
      <name val="Times New Roman"/>
      <family val="1"/>
    </font>
    <font>
      <sz val="9"/>
      <color theme="1"/>
      <name val="Times New Roman"/>
      <family val="1"/>
    </font>
    <font>
      <sz val="10"/>
      <color rgb="FFFF0000"/>
      <name val=".VnArial Narrow"/>
      <family val="2"/>
    </font>
    <font>
      <sz val="14"/>
      <name val=".VnTime"/>
      <family val="2"/>
    </font>
    <font>
      <u/>
      <sz val="13"/>
      <name val="Times New Roman"/>
      <family val="1"/>
    </font>
    <font>
      <b/>
      <i/>
      <sz val="13"/>
      <name val="Times New Roman"/>
      <family val="1"/>
    </font>
    <font>
      <i/>
      <sz val="9"/>
      <color theme="1"/>
      <name val="Times New Roman"/>
      <family val="1"/>
    </font>
    <font>
      <b/>
      <sz val="8"/>
      <color theme="1"/>
      <name val="Times New Roman"/>
      <family val="1"/>
    </font>
    <font>
      <b/>
      <sz val="8"/>
      <color rgb="FFFF0000"/>
      <name val="Times New Roman"/>
      <family val="1"/>
    </font>
    <font>
      <i/>
      <sz val="12"/>
      <color theme="1"/>
      <name val="Times New Roman"/>
      <family val="1"/>
    </font>
    <font>
      <i/>
      <sz val="10"/>
      <color theme="1"/>
      <name val=".VnArial Narrow"/>
      <family val="2"/>
    </font>
    <font>
      <sz val="12"/>
      <color theme="1"/>
      <name val=".VnArial Narrow"/>
      <family val="2"/>
    </font>
    <font>
      <b/>
      <i/>
      <sz val="10.5"/>
      <name val="Times New Roman"/>
      <family val="1"/>
    </font>
    <font>
      <i/>
      <sz val="11"/>
      <color theme="1"/>
      <name val="Times New Roman"/>
      <family val="1"/>
    </font>
    <font>
      <sz val="8"/>
      <color theme="1"/>
      <name val="Times New Roman"/>
      <family val="1"/>
    </font>
    <font>
      <i/>
      <sz val="8"/>
      <color theme="1"/>
      <name val="Times New Roman"/>
      <family val="1"/>
    </font>
    <font>
      <b/>
      <sz val="7"/>
      <color theme="1"/>
      <name val="Times New Roman"/>
      <family val="1"/>
    </font>
    <font>
      <sz val="7"/>
      <color theme="1"/>
      <name val="Times New Roman"/>
      <family val="1"/>
    </font>
    <font>
      <b/>
      <sz val="9"/>
      <color theme="1"/>
      <name val="Calibri"/>
      <family val="2"/>
      <scheme val="minor"/>
    </font>
    <font>
      <sz val="9"/>
      <color theme="1"/>
      <name val="Calibri"/>
      <family val="2"/>
      <scheme val="minor"/>
    </font>
    <font>
      <sz val="9"/>
      <color rgb="FFFF0000"/>
      <name val="Times New Roman"/>
      <family val="1"/>
    </font>
    <font>
      <b/>
      <u/>
      <sz val="13"/>
      <name val="Times New Roman"/>
      <family val="1"/>
    </font>
    <font>
      <b/>
      <i/>
      <sz val="12"/>
      <color theme="1"/>
      <name val="Times New Roman"/>
      <family val="1"/>
    </font>
    <font>
      <b/>
      <sz val="12"/>
      <color indexed="81"/>
      <name val="Tahoma"/>
      <family val="2"/>
    </font>
    <font>
      <b/>
      <u/>
      <sz val="11"/>
      <name val="Times New Roman"/>
      <family val="1"/>
    </font>
    <font>
      <b/>
      <sz val="9"/>
      <color rgb="FFFF0000"/>
      <name val="Times New Roman"/>
      <family val="1"/>
    </font>
    <font>
      <i/>
      <sz val="10.5"/>
      <name val="Times New Roman"/>
      <family val="1"/>
    </font>
    <font>
      <sz val="9"/>
      <color indexed="81"/>
      <name val="Tahoma"/>
    </font>
    <font>
      <b/>
      <sz val="9"/>
      <color indexed="81"/>
      <name val="Tahoma"/>
    </font>
  </fonts>
  <fills count="3">
    <fill>
      <patternFill patternType="none"/>
    </fill>
    <fill>
      <patternFill patternType="gray125"/>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s>
  <cellStyleXfs count="5">
    <xf numFmtId="0" fontId="0" fillId="0" borderId="0"/>
    <xf numFmtId="0" fontId="7" fillId="0" borderId="0"/>
    <xf numFmtId="0" fontId="7" fillId="0" borderId="0"/>
    <xf numFmtId="43" fontId="26" fillId="0" borderId="0" applyFont="0" applyFill="0" applyBorder="0" applyAlignment="0" applyProtection="0"/>
    <xf numFmtId="171" fontId="38" fillId="0" borderId="0" applyFont="0" applyFill="0" applyBorder="0" applyAlignment="0" applyProtection="0"/>
  </cellStyleXfs>
  <cellXfs count="421">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12" fillId="0" borderId="0" xfId="1" applyFont="1"/>
    <xf numFmtId="0" fontId="10" fillId="0" borderId="0" xfId="1" applyFont="1"/>
    <xf numFmtId="0" fontId="8" fillId="0" borderId="0" xfId="1" applyFont="1"/>
    <xf numFmtId="0" fontId="15" fillId="0" borderId="1" xfId="1" applyFont="1" applyBorder="1" applyAlignment="1">
      <alignment horizontal="center" vertical="center" wrapText="1"/>
    </xf>
    <xf numFmtId="0" fontId="15" fillId="0" borderId="1" xfId="1" applyFont="1" applyBorder="1" applyAlignment="1">
      <alignment horizontal="center" vertical="center"/>
    </xf>
    <xf numFmtId="0" fontId="16" fillId="0" borderId="1" xfId="1" applyFont="1" applyBorder="1" applyAlignment="1">
      <alignment horizontal="center" vertical="center"/>
    </xf>
    <xf numFmtId="0" fontId="16" fillId="0" borderId="1" xfId="1" applyFont="1" applyBorder="1" applyAlignment="1">
      <alignment horizontal="center" vertical="center" wrapText="1"/>
    </xf>
    <xf numFmtId="0" fontId="0" fillId="0" borderId="0" xfId="0" applyAlignment="1">
      <alignment vertical="center"/>
    </xf>
    <xf numFmtId="0" fontId="17" fillId="0" borderId="3" xfId="1" applyFont="1" applyBorder="1" applyAlignment="1">
      <alignment vertical="center"/>
    </xf>
    <xf numFmtId="0" fontId="20" fillId="0" borderId="0" xfId="1" applyFont="1"/>
    <xf numFmtId="3" fontId="5" fillId="0" borderId="0" xfId="0" applyNumberFormat="1" applyFont="1"/>
    <xf numFmtId="167" fontId="15" fillId="0" borderId="1" xfId="1" applyNumberFormat="1" applyFont="1" applyBorder="1" applyAlignment="1">
      <alignment horizontal="center" vertical="center"/>
    </xf>
    <xf numFmtId="166" fontId="15" fillId="0" borderId="1" xfId="1" applyNumberFormat="1" applyFont="1" applyBorder="1" applyAlignment="1">
      <alignment horizontal="center" vertical="center"/>
    </xf>
    <xf numFmtId="1" fontId="15" fillId="0" borderId="1" xfId="1" applyNumberFormat="1" applyFont="1" applyBorder="1" applyAlignment="1">
      <alignment horizontal="center" vertical="center"/>
    </xf>
    <xf numFmtId="165" fontId="15" fillId="0" borderId="1" xfId="1" applyNumberFormat="1" applyFont="1" applyBorder="1" applyAlignment="1">
      <alignment horizontal="center" vertical="center"/>
    </xf>
    <xf numFmtId="3" fontId="24" fillId="2" borderId="1" xfId="0" applyNumberFormat="1" applyFont="1" applyFill="1" applyBorder="1" applyAlignment="1">
      <alignment vertical="center"/>
    </xf>
    <xf numFmtId="3" fontId="24" fillId="0" borderId="1" xfId="0" applyNumberFormat="1" applyFont="1" applyBorder="1" applyAlignment="1">
      <alignment vertical="center"/>
    </xf>
    <xf numFmtId="0" fontId="31" fillId="0" borderId="1" xfId="0" applyFont="1" applyBorder="1" applyAlignment="1">
      <alignment horizontal="center" vertical="center" wrapText="1"/>
    </xf>
    <xf numFmtId="3" fontId="15" fillId="2" borderId="1" xfId="0" applyNumberFormat="1" applyFont="1" applyFill="1" applyBorder="1" applyAlignment="1">
      <alignment horizontal="right" vertical="center" wrapText="1" indent="1"/>
    </xf>
    <xf numFmtId="3" fontId="32" fillId="2" borderId="1" xfId="0" applyNumberFormat="1" applyFont="1" applyFill="1" applyBorder="1" applyAlignment="1">
      <alignment horizontal="right" vertical="center" wrapText="1" indent="1"/>
    </xf>
    <xf numFmtId="0" fontId="24" fillId="2"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2" borderId="1" xfId="0" applyFont="1" applyFill="1" applyBorder="1" applyAlignment="1">
      <alignment vertical="center"/>
    </xf>
    <xf numFmtId="0" fontId="24" fillId="2" borderId="1" xfId="0" applyFont="1" applyFill="1" applyBorder="1" applyAlignment="1">
      <alignment horizontal="center" vertical="center"/>
    </xf>
    <xf numFmtId="3" fontId="33" fillId="2" borderId="1" xfId="0" applyNumberFormat="1" applyFont="1" applyFill="1" applyBorder="1" applyAlignment="1">
      <alignment horizontal="center" vertical="center"/>
    </xf>
    <xf numFmtId="0" fontId="24" fillId="0" borderId="1" xfId="0" applyFont="1" applyBorder="1" applyAlignment="1">
      <alignment vertical="center"/>
    </xf>
    <xf numFmtId="0" fontId="24" fillId="0" borderId="1" xfId="0" applyFont="1" applyBorder="1" applyAlignment="1">
      <alignment horizontal="center" vertical="center"/>
    </xf>
    <xf numFmtId="0" fontId="24" fillId="0" borderId="0" xfId="0" applyFont="1" applyAlignment="1">
      <alignment horizontal="center" vertical="center" wrapText="1"/>
    </xf>
    <xf numFmtId="0" fontId="34" fillId="0" borderId="0" xfId="0" applyFont="1" applyAlignment="1">
      <alignment horizontal="center" vertical="center" wrapText="1"/>
    </xf>
    <xf numFmtId="0" fontId="24" fillId="0" borderId="0" xfId="0" applyFont="1" applyAlignment="1">
      <alignment horizontal="left" vertical="center" wrapText="1"/>
    </xf>
    <xf numFmtId="3" fontId="31" fillId="0" borderId="1" xfId="0" applyNumberFormat="1" applyFont="1" applyBorder="1" applyAlignment="1">
      <alignment horizontal="right" vertical="center" wrapText="1"/>
    </xf>
    <xf numFmtId="170" fontId="24" fillId="0" borderId="0" xfId="3" applyNumberFormat="1" applyFont="1" applyAlignment="1">
      <alignment horizontal="left" vertical="center" wrapText="1"/>
    </xf>
    <xf numFmtId="3" fontId="34" fillId="2" borderId="1" xfId="0" applyNumberFormat="1" applyFont="1" applyFill="1" applyBorder="1" applyAlignment="1">
      <alignment horizontal="center" vertical="center"/>
    </xf>
    <xf numFmtId="0" fontId="5" fillId="0" borderId="1" xfId="0" applyFont="1" applyBorder="1"/>
    <xf numFmtId="0" fontId="5" fillId="0" borderId="0" xfId="0" applyFont="1"/>
    <xf numFmtId="0" fontId="34" fillId="0" borderId="1" xfId="0" applyFont="1" applyBorder="1" applyAlignment="1">
      <alignment horizontal="center" vertical="center" wrapText="1"/>
    </xf>
    <xf numFmtId="0" fontId="34" fillId="2" borderId="1" xfId="0" applyFont="1" applyFill="1" applyBorder="1" applyAlignment="1">
      <alignment vertical="center"/>
    </xf>
    <xf numFmtId="0" fontId="34" fillId="2" borderId="1" xfId="0" applyFont="1" applyFill="1" applyBorder="1" applyAlignment="1">
      <alignment horizontal="center" vertical="center"/>
    </xf>
    <xf numFmtId="3" fontId="37" fillId="2" borderId="1" xfId="0" applyNumberFormat="1" applyFont="1" applyFill="1" applyBorder="1" applyAlignment="1">
      <alignment horizontal="center" vertical="center"/>
    </xf>
    <xf numFmtId="0" fontId="25" fillId="0" borderId="0" xfId="0" applyFont="1" applyAlignment="1">
      <alignment horizontal="center" vertical="center" wrapText="1"/>
    </xf>
    <xf numFmtId="0" fontId="27" fillId="0" borderId="0" xfId="0" applyFont="1" applyAlignment="1">
      <alignment horizontal="center" vertical="center" wrapText="1"/>
    </xf>
    <xf numFmtId="0" fontId="18" fillId="0" borderId="1" xfId="0" applyFont="1" applyBorder="1" applyAlignment="1">
      <alignment horizontal="center" vertical="center"/>
    </xf>
    <xf numFmtId="0" fontId="14" fillId="0" borderId="0" xfId="0" applyFont="1" applyAlignment="1">
      <alignment horizontal="center"/>
    </xf>
    <xf numFmtId="0" fontId="8" fillId="0" borderId="0" xfId="0" applyFont="1"/>
    <xf numFmtId="0" fontId="8" fillId="0" borderId="0" xfId="0" applyFont="1" applyAlignment="1">
      <alignment horizontal="right"/>
    </xf>
    <xf numFmtId="3" fontId="8" fillId="0" borderId="12" xfId="0" applyNumberFormat="1" applyFont="1" applyBorder="1" applyAlignment="1">
      <alignment horizontal="right" vertical="center"/>
    </xf>
    <xf numFmtId="3" fontId="8" fillId="0" borderId="12" xfId="0" applyNumberFormat="1" applyFont="1" applyBorder="1" applyAlignment="1">
      <alignment vertical="center"/>
    </xf>
    <xf numFmtId="0" fontId="8" fillId="0" borderId="12" xfId="0" applyFont="1" applyBorder="1" applyAlignment="1">
      <alignment vertical="center"/>
    </xf>
    <xf numFmtId="0" fontId="8" fillId="0" borderId="0" xfId="0" applyFont="1" applyAlignment="1">
      <alignment vertical="center"/>
    </xf>
    <xf numFmtId="0" fontId="8" fillId="0" borderId="13" xfId="0" applyFont="1" applyBorder="1" applyAlignment="1">
      <alignment vertical="center"/>
    </xf>
    <xf numFmtId="3" fontId="8" fillId="0" borderId="13" xfId="4" applyNumberFormat="1" applyFont="1" applyBorder="1" applyAlignment="1">
      <alignment horizontal="right" vertical="center"/>
    </xf>
    <xf numFmtId="0" fontId="8" fillId="0" borderId="13" xfId="0" applyFont="1" applyBorder="1" applyAlignment="1">
      <alignment horizontal="right" vertical="center"/>
    </xf>
    <xf numFmtId="3" fontId="39" fillId="0" borderId="13" xfId="4" applyNumberFormat="1" applyFont="1" applyBorder="1" applyAlignment="1">
      <alignment horizontal="right" vertical="center"/>
    </xf>
    <xf numFmtId="0" fontId="40" fillId="0" borderId="13" xfId="0" applyFont="1" applyBorder="1" applyAlignment="1">
      <alignment vertical="center"/>
    </xf>
    <xf numFmtId="3" fontId="8" fillId="0" borderId="13" xfId="0" applyNumberFormat="1" applyFont="1" applyBorder="1" applyAlignment="1">
      <alignment horizontal="right" vertical="center"/>
    </xf>
    <xf numFmtId="0" fontId="8" fillId="0" borderId="14" xfId="0" applyFont="1" applyBorder="1" applyAlignment="1">
      <alignment vertical="center"/>
    </xf>
    <xf numFmtId="3" fontId="8" fillId="0" borderId="14" xfId="4" applyNumberFormat="1" applyFont="1" applyBorder="1" applyAlignment="1">
      <alignment horizontal="right" vertical="center"/>
    </xf>
    <xf numFmtId="0" fontId="8" fillId="0" borderId="14" xfId="0" applyFont="1" applyBorder="1" applyAlignment="1">
      <alignment horizontal="right" vertical="center"/>
    </xf>
    <xf numFmtId="0" fontId="10" fillId="0" borderId="0" xfId="0" applyFont="1" applyAlignment="1">
      <alignment horizontal="right"/>
    </xf>
    <xf numFmtId="3" fontId="10" fillId="0" borderId="0" xfId="0" applyNumberFormat="1" applyFont="1"/>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42" fillId="0" borderId="1" xfId="0" applyFont="1" applyBorder="1" applyAlignment="1">
      <alignment horizontal="center" vertical="center" wrapText="1"/>
    </xf>
    <xf numFmtId="3" fontId="42" fillId="0" borderId="1" xfId="0" applyNumberFormat="1" applyFont="1" applyBorder="1" applyAlignment="1">
      <alignment horizontal="center" vertical="center" wrapText="1"/>
    </xf>
    <xf numFmtId="0" fontId="4" fillId="2" borderId="15" xfId="0" applyFont="1" applyFill="1" applyBorder="1" applyAlignment="1">
      <alignment horizontal="center" vertical="center"/>
    </xf>
    <xf numFmtId="0" fontId="4" fillId="2" borderId="15" xfId="0" applyFont="1" applyFill="1" applyBorder="1" applyAlignment="1">
      <alignment vertical="center"/>
    </xf>
    <xf numFmtId="2" fontId="31" fillId="2" borderId="15" xfId="0" applyNumberFormat="1" applyFont="1" applyFill="1" applyBorder="1" applyAlignment="1">
      <alignment horizontal="right" vertical="center"/>
    </xf>
    <xf numFmtId="3" fontId="31" fillId="2" borderId="15" xfId="0" applyNumberFormat="1" applyFont="1" applyFill="1" applyBorder="1" applyAlignment="1">
      <alignment horizontal="right" vertical="center"/>
    </xf>
    <xf numFmtId="0" fontId="4" fillId="2" borderId="0" xfId="0" applyFont="1" applyFill="1" applyAlignment="1">
      <alignment vertical="center"/>
    </xf>
    <xf numFmtId="0" fontId="44" fillId="2" borderId="16" xfId="0" applyFont="1" applyFill="1" applyBorder="1" applyAlignment="1">
      <alignment horizontal="center" vertical="center"/>
    </xf>
    <xf numFmtId="0" fontId="44" fillId="2" borderId="16" xfId="0" applyFont="1" applyFill="1" applyBorder="1" applyAlignment="1">
      <alignment vertical="center"/>
    </xf>
    <xf numFmtId="2" fontId="45" fillId="2" borderId="16" xfId="0" applyNumberFormat="1" applyFont="1" applyFill="1" applyBorder="1" applyAlignment="1">
      <alignment horizontal="right" vertical="center"/>
    </xf>
    <xf numFmtId="3" fontId="45" fillId="2" borderId="16" xfId="0" applyNumberFormat="1" applyFont="1" applyFill="1" applyBorder="1" applyAlignment="1">
      <alignment horizontal="right" vertical="center"/>
    </xf>
    <xf numFmtId="0" fontId="44" fillId="2" borderId="0" xfId="0" applyFont="1" applyFill="1" applyAlignment="1">
      <alignment vertical="center"/>
    </xf>
    <xf numFmtId="0" fontId="5" fillId="0" borderId="1" xfId="0" applyFont="1" applyBorder="1" applyAlignment="1">
      <alignment horizontal="center" vertical="center"/>
    </xf>
    <xf numFmtId="2" fontId="46" fillId="0" borderId="1" xfId="0" applyNumberFormat="1" applyFont="1" applyBorder="1"/>
    <xf numFmtId="3" fontId="46" fillId="0" borderId="1" xfId="0" applyNumberFormat="1" applyFont="1" applyBorder="1"/>
    <xf numFmtId="0" fontId="28" fillId="0" borderId="0" xfId="0" applyFont="1"/>
    <xf numFmtId="0" fontId="28" fillId="2" borderId="0" xfId="0" applyFont="1" applyFill="1"/>
    <xf numFmtId="172" fontId="20" fillId="0" borderId="0" xfId="0" applyNumberFormat="1" applyFont="1" applyAlignment="1">
      <alignment horizontal="center"/>
    </xf>
    <xf numFmtId="0" fontId="14" fillId="2" borderId="0" xfId="0" applyFont="1" applyFill="1" applyAlignment="1">
      <alignment horizontal="center"/>
    </xf>
    <xf numFmtId="0" fontId="8" fillId="0" borderId="0" xfId="0" applyFont="1" applyAlignment="1">
      <alignment horizontal="left" vertical="center"/>
    </xf>
    <xf numFmtId="0" fontId="8" fillId="2" borderId="0" xfId="0" applyFont="1" applyFill="1"/>
    <xf numFmtId="0" fontId="28" fillId="0" borderId="0" xfId="0" applyFont="1" applyAlignment="1">
      <alignment vertical="center"/>
    </xf>
    <xf numFmtId="0" fontId="8" fillId="2" borderId="0" xfId="0" applyFont="1" applyFill="1" applyAlignment="1">
      <alignment vertical="center"/>
    </xf>
    <xf numFmtId="0" fontId="8" fillId="0" borderId="0" xfId="0" applyFont="1" applyAlignment="1">
      <alignment horizontal="left" vertical="top"/>
    </xf>
    <xf numFmtId="0" fontId="10" fillId="0" borderId="0" xfId="0" applyFont="1" applyAlignment="1">
      <alignment horizontal="left"/>
    </xf>
    <xf numFmtId="3" fontId="18" fillId="0" borderId="4" xfId="0" applyNumberFormat="1" applyFont="1" applyBorder="1" applyAlignment="1">
      <alignment vertical="center" wrapText="1"/>
    </xf>
    <xf numFmtId="3" fontId="18" fillId="0" borderId="5" xfId="0" applyNumberFormat="1" applyFont="1" applyBorder="1" applyAlignment="1">
      <alignment vertical="center" wrapText="1"/>
    </xf>
    <xf numFmtId="168" fontId="18" fillId="0" borderId="0" xfId="0" applyNumberFormat="1" applyFont="1" applyAlignment="1">
      <alignment vertical="center" wrapText="1"/>
    </xf>
    <xf numFmtId="0" fontId="8" fillId="0" borderId="1"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22" fillId="0" borderId="0" xfId="0" applyFont="1"/>
    <xf numFmtId="0" fontId="17" fillId="0" borderId="0" xfId="0" applyFont="1" applyAlignment="1">
      <alignment vertical="center"/>
    </xf>
    <xf numFmtId="0" fontId="8" fillId="0" borderId="0" xfId="0" applyFont="1" applyAlignment="1">
      <alignment horizontal="right" vertical="center"/>
    </xf>
    <xf numFmtId="0" fontId="17" fillId="0" borderId="1" xfId="0" applyFont="1" applyBorder="1" applyAlignment="1">
      <alignment horizontal="center" vertical="center"/>
    </xf>
    <xf numFmtId="0" fontId="10" fillId="0" borderId="1" xfId="0" applyFont="1" applyBorder="1" applyAlignment="1">
      <alignment vertical="center"/>
    </xf>
    <xf numFmtId="3" fontId="10" fillId="0" borderId="1" xfId="0" applyNumberFormat="1" applyFont="1" applyBorder="1" applyAlignment="1">
      <alignment vertical="center"/>
    </xf>
    <xf numFmtId="0" fontId="8" fillId="0" borderId="1" xfId="0" applyFont="1" applyBorder="1" applyAlignment="1">
      <alignment vertical="center"/>
    </xf>
    <xf numFmtId="0" fontId="42" fillId="0" borderId="1" xfId="0" applyFont="1" applyBorder="1" applyAlignment="1">
      <alignment horizontal="center" vertical="center"/>
    </xf>
    <xf numFmtId="0" fontId="49" fillId="0" borderId="0" xfId="0" applyFont="1"/>
    <xf numFmtId="0" fontId="50" fillId="0" borderId="7" xfId="0" applyFont="1" applyBorder="1" applyAlignment="1">
      <alignment horizontal="right"/>
    </xf>
    <xf numFmtId="0" fontId="22" fillId="0" borderId="0" xfId="0" applyFont="1" applyAlignment="1">
      <alignment vertical="center"/>
    </xf>
    <xf numFmtId="0" fontId="49" fillId="0" borderId="1" xfId="0" applyFont="1" applyBorder="1"/>
    <xf numFmtId="3" fontId="51" fillId="0" borderId="1" xfId="0" applyNumberFormat="1" applyFont="1" applyBorder="1" applyAlignment="1">
      <alignment horizontal="right" vertical="center"/>
    </xf>
    <xf numFmtId="0" fontId="49" fillId="0" borderId="0" xfId="0" applyFont="1" applyAlignment="1">
      <alignment horizontal="center"/>
    </xf>
    <xf numFmtId="0" fontId="22" fillId="0" borderId="0" xfId="0" applyFont="1" applyAlignment="1">
      <alignment horizontal="center"/>
    </xf>
    <xf numFmtId="0" fontId="49" fillId="0" borderId="1" xfId="0" applyFont="1" applyBorder="1" applyAlignment="1">
      <alignment horizontal="center" vertical="center" wrapText="1"/>
    </xf>
    <xf numFmtId="0" fontId="49" fillId="0" borderId="1" xfId="0" applyFont="1" applyBorder="1" applyAlignment="1">
      <alignment vertical="center"/>
    </xf>
    <xf numFmtId="3" fontId="52" fillId="0" borderId="1" xfId="0" applyNumberFormat="1" applyFont="1" applyBorder="1" applyAlignment="1">
      <alignment vertical="center"/>
    </xf>
    <xf numFmtId="0" fontId="49" fillId="0" borderId="1" xfId="0" applyFont="1" applyBorder="1" applyAlignment="1">
      <alignment horizontal="left" vertical="center" wrapText="1"/>
    </xf>
    <xf numFmtId="0" fontId="49" fillId="2" borderId="1" xfId="0" applyFont="1" applyFill="1" applyBorder="1" applyAlignment="1">
      <alignment vertical="center"/>
    </xf>
    <xf numFmtId="3" fontId="52" fillId="0" borderId="1" xfId="0" applyNumberFormat="1" applyFont="1" applyBorder="1" applyAlignment="1">
      <alignment horizontal="right" vertical="center" wrapText="1"/>
    </xf>
    <xf numFmtId="3" fontId="52" fillId="0" borderId="1" xfId="0" applyNumberFormat="1" applyFont="1" applyBorder="1" applyAlignment="1">
      <alignment horizontal="center" vertical="center"/>
    </xf>
    <xf numFmtId="0" fontId="9" fillId="0" borderId="1" xfId="1" applyFont="1" applyBorder="1" applyAlignment="1">
      <alignment horizontal="center" vertical="center" wrapText="1"/>
    </xf>
    <xf numFmtId="0" fontId="57" fillId="0" borderId="0" xfId="0" applyFont="1" applyAlignment="1">
      <alignment vertical="center"/>
    </xf>
    <xf numFmtId="3" fontId="18" fillId="0" borderId="0" xfId="0" applyNumberFormat="1" applyFont="1" applyBorder="1" applyAlignment="1">
      <alignment vertical="center" wrapText="1"/>
    </xf>
    <xf numFmtId="0" fontId="10" fillId="0" borderId="0" xfId="0" applyFont="1" applyBorder="1" applyAlignment="1">
      <alignment horizontal="center" vertical="center"/>
    </xf>
    <xf numFmtId="3" fontId="18" fillId="0" borderId="0" xfId="0" applyNumberFormat="1" applyFont="1" applyBorder="1" applyAlignment="1">
      <alignment horizontal="right" vertical="center"/>
    </xf>
    <xf numFmtId="3" fontId="18" fillId="0" borderId="0" xfId="0" applyNumberFormat="1" applyFont="1" applyBorder="1" applyAlignment="1">
      <alignment horizontal="right" vertical="center" wrapText="1"/>
    </xf>
    <xf numFmtId="0" fontId="20" fillId="0" borderId="0" xfId="0" applyFont="1" applyAlignment="1">
      <alignment vertical="center"/>
    </xf>
    <xf numFmtId="0" fontId="20" fillId="0" borderId="0" xfId="0" applyFont="1" applyAlignment="1">
      <alignment vertical="center" wrapText="1"/>
    </xf>
    <xf numFmtId="0" fontId="20" fillId="0" borderId="0" xfId="0" applyFont="1" applyAlignment="1">
      <alignment vertical="top"/>
    </xf>
    <xf numFmtId="0" fontId="20" fillId="0" borderId="0" xfId="0" applyFont="1" applyAlignment="1">
      <alignment vertical="top" wrapText="1"/>
    </xf>
    <xf numFmtId="0" fontId="20" fillId="0" borderId="0" xfId="0" applyFont="1" applyAlignment="1">
      <alignment horizontal="left" vertical="center"/>
    </xf>
    <xf numFmtId="170" fontId="28" fillId="0" borderId="0" xfId="3" applyNumberFormat="1" applyFont="1"/>
    <xf numFmtId="0" fontId="47" fillId="0" borderId="6" xfId="0" applyFont="1" applyBorder="1" applyAlignment="1">
      <alignment vertical="center" wrapText="1"/>
    </xf>
    <xf numFmtId="0" fontId="47" fillId="0" borderId="5" xfId="0" applyFont="1" applyBorder="1" applyAlignment="1">
      <alignment vertical="center" wrapText="1"/>
    </xf>
    <xf numFmtId="0" fontId="47" fillId="0" borderId="4" xfId="0" applyFont="1" applyBorder="1" applyAlignment="1">
      <alignment vertical="center"/>
    </xf>
    <xf numFmtId="0" fontId="47" fillId="0" borderId="6" xfId="0" applyFont="1" applyBorder="1" applyAlignment="1">
      <alignment vertical="center"/>
    </xf>
    <xf numFmtId="0" fontId="59" fillId="0" borderId="18" xfId="0" applyFont="1" applyBorder="1" applyAlignment="1">
      <alignment vertical="top" wrapText="1"/>
    </xf>
    <xf numFmtId="0" fontId="10" fillId="2" borderId="0" xfId="1" applyFont="1" applyFill="1" applyAlignment="1">
      <alignment vertical="center"/>
    </xf>
    <xf numFmtId="169" fontId="22" fillId="0" borderId="1" xfId="0" applyNumberFormat="1" applyFont="1" applyFill="1" applyBorder="1" applyAlignment="1">
      <alignment horizontal="center" vertical="center"/>
    </xf>
    <xf numFmtId="3" fontId="22" fillId="0" borderId="1" xfId="0" applyNumberFormat="1" applyFont="1" applyFill="1" applyBorder="1" applyAlignment="1">
      <alignment vertical="center"/>
    </xf>
    <xf numFmtId="3" fontId="22" fillId="0" borderId="0" xfId="0" applyNumberFormat="1" applyFont="1" applyFill="1"/>
    <xf numFmtId="3" fontId="60" fillId="0" borderId="0" xfId="0" applyNumberFormat="1" applyFont="1" applyFill="1" applyAlignment="1">
      <alignment horizontal="center" vertical="center"/>
    </xf>
    <xf numFmtId="3" fontId="31" fillId="0" borderId="1" xfId="0" applyNumberFormat="1" applyFont="1" applyFill="1" applyBorder="1" applyAlignment="1">
      <alignment horizontal="right" vertical="center"/>
    </xf>
    <xf numFmtId="3" fontId="24" fillId="0" borderId="0" xfId="0" applyNumberFormat="1" applyFont="1" applyFill="1" applyAlignment="1">
      <alignment vertical="center"/>
    </xf>
    <xf numFmtId="3" fontId="5" fillId="0" borderId="0" xfId="0" applyNumberFormat="1" applyFont="1" applyFill="1" applyAlignment="1">
      <alignment vertical="center"/>
    </xf>
    <xf numFmtId="3" fontId="23" fillId="0" borderId="0" xfId="0" applyNumberFormat="1" applyFont="1" applyFill="1" applyAlignment="1">
      <alignment horizontal="center" vertical="center"/>
    </xf>
    <xf numFmtId="3" fontId="5" fillId="0" borderId="0" xfId="0" applyNumberFormat="1" applyFont="1" applyFill="1"/>
    <xf numFmtId="3" fontId="31" fillId="0" borderId="1" xfId="0" applyNumberFormat="1" applyFont="1" applyFill="1" applyBorder="1" applyAlignment="1">
      <alignment vertical="center"/>
    </xf>
    <xf numFmtId="3" fontId="24" fillId="0" borderId="1" xfId="0" applyNumberFormat="1" applyFont="1" applyFill="1" applyBorder="1" applyAlignment="1">
      <alignment vertical="center"/>
    </xf>
    <xf numFmtId="0" fontId="0" fillId="0" borderId="0" xfId="0" applyFont="1"/>
    <xf numFmtId="0" fontId="61" fillId="0" borderId="8" xfId="1" applyFont="1" applyBorder="1" applyAlignment="1">
      <alignment vertical="center" wrapText="1"/>
    </xf>
    <xf numFmtId="0" fontId="61" fillId="0" borderId="8" xfId="1" applyFont="1" applyBorder="1" applyAlignment="1">
      <alignment vertical="center"/>
    </xf>
    <xf numFmtId="3" fontId="14" fillId="0" borderId="0" xfId="0" applyNumberFormat="1" applyFont="1" applyAlignment="1">
      <alignment vertical="center" wrapText="1"/>
    </xf>
    <xf numFmtId="3" fontId="14" fillId="0" borderId="0" xfId="0" applyNumberFormat="1" applyFont="1" applyAlignment="1">
      <alignment vertical="center"/>
    </xf>
    <xf numFmtId="0" fontId="14" fillId="0" borderId="0" xfId="0" applyFont="1" applyAlignment="1">
      <alignment horizontal="center" vertical="center"/>
    </xf>
    <xf numFmtId="3" fontId="23" fillId="0" borderId="1" xfId="0" applyNumberFormat="1" applyFont="1" applyFill="1" applyBorder="1" applyAlignment="1">
      <alignment horizontal="center" vertical="center" wrapText="1"/>
    </xf>
    <xf numFmtId="3" fontId="23" fillId="0" borderId="1" xfId="0" applyNumberFormat="1" applyFont="1" applyFill="1" applyBorder="1" applyAlignment="1">
      <alignment vertical="center"/>
    </xf>
    <xf numFmtId="3" fontId="22" fillId="0" borderId="1" xfId="0" applyNumberFormat="1" applyFont="1" applyFill="1" applyBorder="1" applyAlignment="1">
      <alignment horizontal="center" vertical="center"/>
    </xf>
    <xf numFmtId="3" fontId="22" fillId="0" borderId="1" xfId="0" applyNumberFormat="1" applyFont="1" applyFill="1" applyBorder="1" applyAlignment="1">
      <alignment vertical="center" wrapText="1"/>
    </xf>
    <xf numFmtId="3" fontId="22" fillId="0" borderId="1" xfId="0" applyNumberFormat="1" applyFont="1" applyFill="1" applyBorder="1" applyAlignment="1">
      <alignment horizontal="center" vertical="center" wrapText="1"/>
    </xf>
    <xf numFmtId="3" fontId="23" fillId="0" borderId="1" xfId="0" applyNumberFormat="1" applyFont="1" applyFill="1" applyBorder="1" applyAlignment="1">
      <alignment horizontal="right" vertical="center"/>
    </xf>
    <xf numFmtId="3" fontId="24" fillId="0" borderId="1" xfId="0" applyNumberFormat="1" applyFont="1" applyFill="1" applyBorder="1" applyAlignment="1">
      <alignment horizontal="right" vertical="center" wrapText="1"/>
    </xf>
    <xf numFmtId="168" fontId="19" fillId="0" borderId="0" xfId="0" applyNumberFormat="1" applyFont="1" applyAlignment="1">
      <alignment horizontal="right" vertical="top" wrapText="1"/>
    </xf>
    <xf numFmtId="0" fontId="13" fillId="0" borderId="0" xfId="0" applyFont="1" applyAlignment="1">
      <alignment horizontal="center"/>
    </xf>
    <xf numFmtId="3" fontId="19" fillId="0" borderId="0" xfId="0" applyNumberFormat="1" applyFont="1" applyAlignment="1">
      <alignment horizontal="left" vertical="center" wrapText="1"/>
    </xf>
    <xf numFmtId="37" fontId="9" fillId="0" borderId="1" xfId="1" applyNumberFormat="1" applyFont="1" applyBorder="1" applyAlignment="1">
      <alignment vertical="center" wrapText="1"/>
    </xf>
    <xf numFmtId="37" fontId="9" fillId="0" borderId="3" xfId="1" applyNumberFormat="1" applyFont="1" applyBorder="1" applyAlignment="1">
      <alignment vertical="center"/>
    </xf>
    <xf numFmtId="37" fontId="0" fillId="0" borderId="0" xfId="0" applyNumberFormat="1"/>
    <xf numFmtId="167" fontId="28" fillId="0" borderId="3" xfId="1" applyNumberFormat="1" applyFont="1" applyBorder="1" applyAlignment="1">
      <alignment horizontal="center" vertical="center"/>
    </xf>
    <xf numFmtId="166" fontId="28" fillId="0" borderId="3" xfId="1" applyNumberFormat="1" applyFont="1" applyBorder="1" applyAlignment="1">
      <alignment horizontal="center" vertical="center"/>
    </xf>
    <xf numFmtId="1" fontId="28" fillId="0" borderId="3" xfId="1" applyNumberFormat="1" applyFont="1" applyBorder="1" applyAlignment="1">
      <alignment horizontal="center" vertical="center"/>
    </xf>
    <xf numFmtId="165" fontId="28" fillId="0" borderId="3" xfId="1" applyNumberFormat="1" applyFont="1" applyBorder="1" applyAlignment="1">
      <alignment horizontal="center" vertical="center"/>
    </xf>
    <xf numFmtId="37" fontId="16" fillId="0" borderId="3" xfId="1" applyNumberFormat="1" applyFont="1" applyBorder="1" applyAlignment="1">
      <alignment vertical="center" wrapText="1"/>
    </xf>
    <xf numFmtId="0" fontId="16" fillId="0" borderId="3" xfId="1" applyFont="1" applyBorder="1" applyAlignment="1">
      <alignment horizontal="center" vertical="center" wrapText="1"/>
    </xf>
    <xf numFmtId="0" fontId="51" fillId="0" borderId="3" xfId="0" applyFont="1" applyBorder="1" applyAlignment="1">
      <alignment horizontal="center" vertical="center" wrapText="1"/>
    </xf>
    <xf numFmtId="0" fontId="51" fillId="0" borderId="1" xfId="0" applyFont="1" applyBorder="1" applyAlignment="1">
      <alignment horizontal="center" vertical="center" wrapText="1"/>
    </xf>
    <xf numFmtId="3" fontId="33" fillId="0" borderId="1" xfId="0" applyNumberFormat="1" applyFont="1" applyBorder="1" applyAlignment="1">
      <alignment horizontal="center" vertical="center"/>
    </xf>
    <xf numFmtId="3" fontId="24" fillId="0" borderId="1" xfId="0" applyNumberFormat="1" applyFont="1" applyBorder="1" applyAlignment="1">
      <alignment horizontal="center" vertical="center"/>
    </xf>
    <xf numFmtId="3" fontId="24" fillId="2" borderId="1" xfId="0" applyNumberFormat="1" applyFont="1" applyFill="1" applyBorder="1" applyAlignment="1">
      <alignment horizontal="center" vertical="center"/>
    </xf>
    <xf numFmtId="3" fontId="31" fillId="2" borderId="1" xfId="0" applyNumberFormat="1" applyFont="1" applyFill="1" applyBorder="1" applyAlignment="1">
      <alignment horizontal="center" vertical="center"/>
    </xf>
    <xf numFmtId="3" fontId="24" fillId="0" borderId="1" xfId="0" applyNumberFormat="1" applyFont="1" applyFill="1" applyBorder="1" applyAlignment="1">
      <alignment horizontal="right" vertical="center"/>
    </xf>
    <xf numFmtId="3" fontId="23" fillId="0" borderId="2" xfId="0" applyNumberFormat="1" applyFont="1" applyFill="1" applyBorder="1" applyAlignment="1">
      <alignment horizontal="center" vertical="center"/>
    </xf>
    <xf numFmtId="0" fontId="10" fillId="0" borderId="0" xfId="1" applyFont="1" applyAlignment="1">
      <alignment horizontal="center"/>
    </xf>
    <xf numFmtId="0" fontId="21" fillId="0" borderId="0" xfId="1" applyFont="1" applyAlignment="1">
      <alignment horizontal="center"/>
    </xf>
    <xf numFmtId="0" fontId="9" fillId="0" borderId="3" xfId="1" applyFont="1" applyBorder="1" applyAlignment="1">
      <alignment horizontal="center" vertical="center"/>
    </xf>
    <xf numFmtId="0" fontId="9" fillId="0" borderId="3" xfId="1" applyFont="1" applyBorder="1" applyAlignment="1">
      <alignment horizontal="center" vertical="center" wrapText="1"/>
    </xf>
    <xf numFmtId="0" fontId="10" fillId="0" borderId="0" xfId="0" applyFont="1" applyAlignment="1">
      <alignment horizontal="center"/>
    </xf>
    <xf numFmtId="0" fontId="20" fillId="0" borderId="11" xfId="0" applyFont="1" applyBorder="1" applyAlignment="1">
      <alignment horizontal="left" vertical="center" wrapText="1"/>
    </xf>
    <xf numFmtId="0" fontId="20" fillId="0" borderId="8" xfId="0" applyFont="1" applyBorder="1" applyAlignment="1">
      <alignment horizontal="left" vertical="center" wrapText="1"/>
    </xf>
    <xf numFmtId="0" fontId="20" fillId="0" borderId="8" xfId="0" applyFont="1" applyBorder="1" applyAlignment="1">
      <alignment horizontal="left" vertical="center"/>
    </xf>
    <xf numFmtId="0" fontId="20" fillId="0" borderId="10" xfId="0" applyFont="1" applyBorder="1" applyAlignment="1">
      <alignment horizontal="left" vertical="center"/>
    </xf>
    <xf numFmtId="0" fontId="8" fillId="0" borderId="0" xfId="0" applyFont="1" applyAlignment="1">
      <alignment horizontal="center"/>
    </xf>
    <xf numFmtId="0" fontId="42" fillId="0" borderId="1" xfId="0" applyFont="1" applyBorder="1" applyAlignment="1">
      <alignment horizontal="center" vertical="center" wrapText="1"/>
    </xf>
    <xf numFmtId="3" fontId="42" fillId="0" borderId="1" xfId="0" applyNumberFormat="1" applyFont="1" applyBorder="1" applyAlignment="1">
      <alignment horizontal="center" vertical="center" wrapText="1"/>
    </xf>
    <xf numFmtId="0" fontId="5" fillId="0" borderId="17" xfId="0" applyFont="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4" fillId="0" borderId="1" xfId="0" applyFont="1" applyBorder="1" applyAlignment="1">
      <alignment horizontal="center" vertical="center"/>
    </xf>
    <xf numFmtId="0" fontId="42" fillId="0" borderId="1" xfId="0" applyFont="1" applyBorder="1" applyAlignment="1">
      <alignment horizontal="center" vertical="center"/>
    </xf>
    <xf numFmtId="3" fontId="42" fillId="0" borderId="1" xfId="0" applyNumberFormat="1" applyFont="1" applyBorder="1" applyAlignment="1">
      <alignment horizontal="center" vertical="center"/>
    </xf>
    <xf numFmtId="0" fontId="35" fillId="0" borderId="1" xfId="0" applyFont="1" applyBorder="1" applyAlignment="1">
      <alignment horizontal="center" vertical="center"/>
    </xf>
    <xf numFmtId="0" fontId="31" fillId="0" borderId="1" xfId="0" applyFont="1" applyBorder="1" applyAlignment="1">
      <alignment vertical="center" wrapText="1"/>
    </xf>
    <xf numFmtId="0" fontId="31" fillId="0" borderId="4" xfId="0" applyFont="1" applyBorder="1" applyAlignment="1">
      <alignment horizontal="center" vertical="center" wrapText="1"/>
    </xf>
    <xf numFmtId="0" fontId="31" fillId="0" borderId="6" xfId="0" applyFont="1" applyBorder="1" applyAlignment="1">
      <alignment horizontal="center" vertical="center" wrapText="1"/>
    </xf>
    <xf numFmtId="0" fontId="24" fillId="0" borderId="1" xfId="0" applyFont="1" applyBorder="1" applyAlignment="1">
      <alignment vertical="center" wrapText="1"/>
    </xf>
    <xf numFmtId="0" fontId="32" fillId="0" borderId="8" xfId="0" applyFont="1" applyBorder="1" applyAlignment="1">
      <alignment vertical="center"/>
    </xf>
    <xf numFmtId="0" fontId="32" fillId="0" borderId="10" xfId="0" applyFont="1" applyBorder="1" applyAlignment="1">
      <alignment vertical="center"/>
    </xf>
    <xf numFmtId="0" fontId="32" fillId="0" borderId="0" xfId="0" applyFont="1" applyAlignment="1">
      <alignment vertical="center" wrapText="1"/>
    </xf>
    <xf numFmtId="0" fontId="32" fillId="0" borderId="9" xfId="0" applyFont="1" applyBorder="1" applyAlignment="1">
      <alignment vertical="center" wrapText="1"/>
    </xf>
    <xf numFmtId="0" fontId="24" fillId="0" borderId="0" xfId="0" applyFont="1" applyAlignment="1">
      <alignment vertical="center" wrapText="1"/>
    </xf>
    <xf numFmtId="0" fontId="24" fillId="0" borderId="9" xfId="0" applyFont="1" applyBorder="1" applyAlignment="1">
      <alignment vertical="center" wrapText="1"/>
    </xf>
    <xf numFmtId="0" fontId="2" fillId="0" borderId="0" xfId="0" applyFont="1" applyAlignment="1">
      <alignment horizontal="center" vertical="center" wrapText="1"/>
    </xf>
    <xf numFmtId="0" fontId="32" fillId="0" borderId="1" xfId="0" applyFont="1" applyBorder="1" applyAlignment="1">
      <alignment vertical="center"/>
    </xf>
    <xf numFmtId="0" fontId="32" fillId="0" borderId="1" xfId="0" applyFont="1" applyBorder="1" applyAlignment="1">
      <alignment vertical="center" wrapText="1"/>
    </xf>
    <xf numFmtId="0" fontId="41" fillId="0" borderId="0" xfId="0" applyFont="1" applyAlignment="1">
      <alignment horizontal="right"/>
    </xf>
    <xf numFmtId="0" fontId="3" fillId="0" borderId="0" xfId="0" applyFont="1" applyAlignment="1">
      <alignment horizontal="center"/>
    </xf>
    <xf numFmtId="0" fontId="42" fillId="0" borderId="2" xfId="0" applyFont="1" applyBorder="1" applyAlignment="1">
      <alignment horizontal="center" vertical="center" wrapText="1"/>
    </xf>
    <xf numFmtId="0" fontId="42" fillId="0" borderId="3" xfId="0" applyFont="1" applyBorder="1" applyAlignment="1">
      <alignment horizontal="center" vertical="center" wrapText="1"/>
    </xf>
    <xf numFmtId="0" fontId="51" fillId="0" borderId="2" xfId="0" applyFont="1" applyBorder="1" applyAlignment="1">
      <alignment horizontal="center" vertical="center" wrapText="1"/>
    </xf>
    <xf numFmtId="0" fontId="51" fillId="0" borderId="3" xfId="0" applyFont="1" applyBorder="1" applyAlignment="1">
      <alignment horizontal="center" vertical="center" wrapText="1"/>
    </xf>
    <xf numFmtId="0" fontId="51" fillId="0" borderId="1" xfId="0" applyFont="1" applyBorder="1" applyAlignment="1">
      <alignment horizontal="center" vertical="center" wrapText="1"/>
    </xf>
    <xf numFmtId="3" fontId="23" fillId="0" borderId="2" xfId="0" applyNumberFormat="1" applyFont="1" applyFill="1" applyBorder="1" applyAlignment="1">
      <alignment horizontal="center" vertical="center"/>
    </xf>
    <xf numFmtId="0" fontId="13" fillId="0" borderId="0" xfId="1" applyFont="1" applyAlignment="1">
      <alignment horizontal="center"/>
    </xf>
    <xf numFmtId="0" fontId="10" fillId="0" borderId="0" xfId="1" applyFont="1" applyAlignment="1">
      <alignment horizontal="left" vertical="center"/>
    </xf>
    <xf numFmtId="0" fontId="11" fillId="0" borderId="0" xfId="1" applyFont="1" applyAlignment="1">
      <alignment horizontal="right"/>
    </xf>
    <xf numFmtId="0" fontId="20" fillId="0" borderId="0" xfId="1" applyFont="1" applyAlignment="1">
      <alignment horizontal="center"/>
    </xf>
    <xf numFmtId="0" fontId="10" fillId="0" borderId="0" xfId="1" applyFont="1" applyAlignment="1">
      <alignment horizontal="center"/>
    </xf>
    <xf numFmtId="0" fontId="21" fillId="0" borderId="0" xfId="1" applyFont="1" applyAlignment="1">
      <alignment horizontal="center"/>
    </xf>
    <xf numFmtId="0" fontId="8" fillId="0" borderId="0" xfId="1" applyFont="1" applyAlignment="1">
      <alignment horizontal="center"/>
    </xf>
    <xf numFmtId="0" fontId="9" fillId="0" borderId="0" xfId="1" applyFont="1" applyAlignment="1">
      <alignment horizontal="right"/>
    </xf>
    <xf numFmtId="0" fontId="12" fillId="0" borderId="0" xfId="1" applyFont="1" applyAlignment="1">
      <alignment horizontal="center"/>
    </xf>
    <xf numFmtId="0" fontId="13" fillId="0" borderId="0" xfId="1" applyFont="1" applyAlignment="1">
      <alignment horizontal="center" vertical="center" wrapText="1"/>
    </xf>
    <xf numFmtId="0" fontId="13" fillId="0" borderId="0" xfId="1" applyFont="1" applyAlignment="1">
      <alignment horizontal="center" vertical="center"/>
    </xf>
    <xf numFmtId="0" fontId="8" fillId="0" borderId="0" xfId="1" applyFont="1" applyAlignment="1">
      <alignment horizontal="left"/>
    </xf>
    <xf numFmtId="0" fontId="10" fillId="0" borderId="0" xfId="1" applyFont="1" applyAlignment="1">
      <alignment horizontal="left"/>
    </xf>
    <xf numFmtId="0" fontId="14" fillId="0" borderId="7" xfId="1" applyFont="1" applyBorder="1" applyAlignment="1">
      <alignment horizontal="right"/>
    </xf>
    <xf numFmtId="0" fontId="9" fillId="0" borderId="2" xfId="1" applyFont="1" applyBorder="1" applyAlignment="1">
      <alignment horizontal="center" vertical="center"/>
    </xf>
    <xf numFmtId="0" fontId="9" fillId="0" borderId="3" xfId="1" applyFont="1" applyBorder="1" applyAlignment="1">
      <alignment horizontal="center" vertical="center"/>
    </xf>
    <xf numFmtId="0" fontId="9" fillId="0" borderId="2" xfId="1" applyFont="1" applyBorder="1" applyAlignment="1">
      <alignment horizontal="center" vertical="center" wrapText="1"/>
    </xf>
    <xf numFmtId="0" fontId="9" fillId="0" borderId="3" xfId="1" applyFont="1" applyBorder="1" applyAlignment="1">
      <alignment horizontal="center" vertical="center" wrapText="1"/>
    </xf>
    <xf numFmtId="0" fontId="19" fillId="0" borderId="8" xfId="1" applyFont="1" applyBorder="1" applyAlignment="1">
      <alignment horizontal="right" vertical="center"/>
    </xf>
    <xf numFmtId="0" fontId="15" fillId="0" borderId="2" xfId="1" applyFont="1" applyBorder="1" applyAlignment="1">
      <alignment horizontal="center" vertical="center" wrapText="1"/>
    </xf>
    <xf numFmtId="0" fontId="15" fillId="0" borderId="3" xfId="1" applyFont="1" applyBorder="1" applyAlignment="1">
      <alignment horizontal="center" vertical="center" wrapText="1"/>
    </xf>
    <xf numFmtId="0" fontId="15" fillId="0" borderId="4" xfId="1" applyFont="1" applyBorder="1" applyAlignment="1">
      <alignment horizontal="center" vertical="center"/>
    </xf>
    <xf numFmtId="0" fontId="15" fillId="0" borderId="6" xfId="1" applyFont="1" applyBorder="1" applyAlignment="1">
      <alignment horizontal="center" vertical="center"/>
    </xf>
    <xf numFmtId="0" fontId="15" fillId="0" borderId="5" xfId="1" applyFont="1" applyBorder="1" applyAlignment="1">
      <alignment horizontal="center" vertical="center"/>
    </xf>
    <xf numFmtId="0" fontId="10" fillId="0" borderId="0" xfId="0" applyFont="1" applyAlignment="1">
      <alignment horizont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0" fillId="0" borderId="20" xfId="0" applyFont="1" applyBorder="1" applyAlignment="1">
      <alignment horizontal="left" vertical="center"/>
    </xf>
    <xf numFmtId="0" fontId="10" fillId="0" borderId="21" xfId="0" applyFont="1" applyBorder="1" applyAlignment="1">
      <alignment horizontal="left" vertical="center"/>
    </xf>
    <xf numFmtId="0" fontId="9" fillId="0" borderId="7" xfId="0" applyFont="1" applyBorder="1" applyAlignment="1">
      <alignment horizontal="left" vertical="top" wrapText="1"/>
    </xf>
    <xf numFmtId="0" fontId="9" fillId="0" borderId="19" xfId="0" applyFont="1" applyBorder="1" applyAlignment="1">
      <alignment horizontal="left" vertical="top" wrapText="1"/>
    </xf>
    <xf numFmtId="0" fontId="20" fillId="0" borderId="0" xfId="0" applyFont="1" applyAlignment="1">
      <alignment horizontal="center"/>
    </xf>
    <xf numFmtId="0" fontId="20" fillId="0" borderId="4" xfId="0" applyFont="1" applyBorder="1" applyAlignment="1">
      <alignment horizontal="left" vertical="center" wrapText="1"/>
    </xf>
    <xf numFmtId="0" fontId="20" fillId="0" borderId="6" xfId="0" applyFont="1" applyBorder="1" applyAlignment="1">
      <alignment horizontal="left" vertical="center" wrapText="1"/>
    </xf>
    <xf numFmtId="0" fontId="20" fillId="0" borderId="5" xfId="0" applyFont="1" applyBorder="1" applyAlignment="1">
      <alignment horizontal="left" vertical="center" wrapText="1"/>
    </xf>
    <xf numFmtId="0" fontId="20" fillId="0" borderId="8" xfId="0" applyFont="1" applyBorder="1" applyAlignment="1">
      <alignment horizontal="center"/>
    </xf>
    <xf numFmtId="0" fontId="13" fillId="0" borderId="0" xfId="0" applyFont="1" applyAlignment="1">
      <alignment horizontal="center"/>
    </xf>
    <xf numFmtId="168" fontId="14" fillId="0" borderId="0" xfId="0" applyNumberFormat="1" applyFont="1" applyAlignment="1">
      <alignment horizontal="right" vertical="center" wrapText="1"/>
    </xf>
    <xf numFmtId="168" fontId="19" fillId="0" borderId="0" xfId="0" applyNumberFormat="1" applyFont="1" applyAlignment="1">
      <alignment horizontal="right" vertical="top" wrapText="1"/>
    </xf>
    <xf numFmtId="0" fontId="18" fillId="0" borderId="0" xfId="0" applyFont="1" applyAlignment="1">
      <alignment horizontal="left" vertical="center" wrapText="1"/>
    </xf>
    <xf numFmtId="0" fontId="8" fillId="0" borderId="0" xfId="0" applyFont="1" applyAlignment="1">
      <alignment horizontal="left" vertical="top" wrapText="1"/>
    </xf>
    <xf numFmtId="3" fontId="18" fillId="2" borderId="4" xfId="0" applyNumberFormat="1" applyFont="1" applyFill="1" applyBorder="1" applyAlignment="1">
      <alignment horizontal="right" vertical="center" wrapText="1"/>
    </xf>
    <xf numFmtId="3" fontId="18" fillId="2" borderId="5" xfId="0" applyNumberFormat="1" applyFont="1" applyFill="1" applyBorder="1" applyAlignment="1">
      <alignment horizontal="right" vertical="center" wrapText="1"/>
    </xf>
    <xf numFmtId="0" fontId="10" fillId="0" borderId="4"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xf numFmtId="3" fontId="18" fillId="0" borderId="4" xfId="0" applyNumberFormat="1" applyFont="1" applyBorder="1" applyAlignment="1">
      <alignment horizontal="right" vertical="center"/>
    </xf>
    <xf numFmtId="3" fontId="18" fillId="0" borderId="5" xfId="0" applyNumberFormat="1" applyFont="1" applyBorder="1" applyAlignment="1">
      <alignment horizontal="right" vertical="center"/>
    </xf>
    <xf numFmtId="3" fontId="18" fillId="0" borderId="4" xfId="0" applyNumberFormat="1" applyFont="1" applyBorder="1" applyAlignment="1">
      <alignment horizontal="right" vertical="center" wrapText="1"/>
    </xf>
    <xf numFmtId="3" fontId="18" fillId="0" borderId="5" xfId="0" applyNumberFormat="1" applyFont="1" applyBorder="1" applyAlignment="1">
      <alignment horizontal="right" vertical="center" wrapText="1"/>
    </xf>
    <xf numFmtId="173" fontId="18" fillId="0" borderId="0" xfId="0" applyNumberFormat="1" applyFont="1" applyAlignment="1">
      <alignment horizontal="right" vertical="center"/>
    </xf>
    <xf numFmtId="0" fontId="8" fillId="0" borderId="17" xfId="0" applyFont="1" applyBorder="1" applyAlignment="1">
      <alignment horizontal="left" vertical="center" wrapText="1"/>
    </xf>
    <xf numFmtId="0" fontId="8" fillId="0" borderId="0" xfId="0" applyFont="1" applyBorder="1" applyAlignment="1">
      <alignment horizontal="left" vertical="center" wrapText="1"/>
    </xf>
    <xf numFmtId="0" fontId="8" fillId="0" borderId="0" xfId="0" applyFont="1" applyBorder="1" applyAlignment="1">
      <alignment horizontal="left" vertical="top"/>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0" xfId="0" applyFont="1" applyAlignment="1">
      <alignment horizontal="center"/>
    </xf>
    <xf numFmtId="0" fontId="8" fillId="0" borderId="0" xfId="0" applyFont="1" applyAlignment="1">
      <alignment horizontal="justify" vertical="center" wrapText="1"/>
    </xf>
    <xf numFmtId="0" fontId="8" fillId="0" borderId="0" xfId="0" applyFont="1" applyAlignment="1">
      <alignment horizontal="center" vertical="center"/>
    </xf>
    <xf numFmtId="0" fontId="10" fillId="0" borderId="0" xfId="0" applyFont="1" applyAlignment="1">
      <alignment horizontal="center" vertical="center"/>
    </xf>
    <xf numFmtId="0" fontId="56" fillId="0" borderId="0" xfId="0" applyFont="1" applyAlignment="1">
      <alignment horizontal="center"/>
    </xf>
    <xf numFmtId="0" fontId="8" fillId="0" borderId="0" xfId="0" applyFont="1" applyAlignment="1">
      <alignment horizontal="center"/>
    </xf>
    <xf numFmtId="0" fontId="13" fillId="0" borderId="0" xfId="0" applyFont="1" applyAlignment="1">
      <alignment horizontal="center" vertical="center"/>
    </xf>
    <xf numFmtId="3" fontId="17" fillId="0" borderId="4" xfId="0" applyNumberFormat="1" applyFont="1" applyBorder="1" applyAlignment="1">
      <alignment horizontal="center" vertical="center" wrapText="1"/>
    </xf>
    <xf numFmtId="3" fontId="17" fillId="0" borderId="6" xfId="0" applyNumberFormat="1" applyFont="1" applyBorder="1" applyAlignment="1">
      <alignment horizontal="center" vertical="center" wrapText="1"/>
    </xf>
    <xf numFmtId="3" fontId="17" fillId="0" borderId="5" xfId="0" applyNumberFormat="1" applyFont="1" applyBorder="1" applyAlignment="1">
      <alignment horizontal="center" vertical="center" wrapText="1"/>
    </xf>
    <xf numFmtId="2" fontId="42" fillId="0" borderId="1" xfId="0" applyNumberFormat="1" applyFont="1" applyFill="1" applyBorder="1" applyAlignment="1">
      <alignment horizontal="center" vertical="center" wrapText="1"/>
    </xf>
    <xf numFmtId="2" fontId="43" fillId="0" borderId="1" xfId="0" applyNumberFormat="1" applyFont="1" applyFill="1" applyBorder="1" applyAlignment="1">
      <alignment horizontal="center" vertical="center" wrapText="1"/>
    </xf>
    <xf numFmtId="3" fontId="42" fillId="0" borderId="1" xfId="0" applyNumberFormat="1" applyFont="1" applyFill="1" applyBorder="1" applyAlignment="1">
      <alignment horizontal="center" vertical="center" wrapText="1"/>
    </xf>
    <xf numFmtId="3" fontId="43" fillId="0" borderId="1" xfId="0" applyNumberFormat="1" applyFont="1" applyFill="1" applyBorder="1" applyAlignment="1">
      <alignment horizontal="center" vertical="center" wrapText="1"/>
    </xf>
    <xf numFmtId="0" fontId="4" fillId="0" borderId="15" xfId="0" applyFont="1" applyFill="1" applyBorder="1" applyAlignment="1">
      <alignment horizontal="center" vertical="center"/>
    </xf>
    <xf numFmtId="3" fontId="31" fillId="0" borderId="15" xfId="0" applyNumberFormat="1" applyFont="1" applyFill="1" applyBorder="1" applyAlignment="1">
      <alignment horizontal="right" vertical="center"/>
    </xf>
    <xf numFmtId="3" fontId="45" fillId="0" borderId="16" xfId="0" applyNumberFormat="1" applyFont="1" applyFill="1" applyBorder="1" applyAlignment="1">
      <alignment horizontal="right" vertical="center"/>
    </xf>
    <xf numFmtId="3" fontId="46" fillId="0" borderId="1" xfId="0" applyNumberFormat="1" applyFont="1" applyFill="1" applyBorder="1"/>
    <xf numFmtId="3" fontId="34" fillId="0" borderId="1" xfId="0" applyNumberFormat="1" applyFont="1" applyFill="1" applyBorder="1" applyAlignment="1">
      <alignment horizontal="right" vertical="center"/>
    </xf>
    <xf numFmtId="3" fontId="34" fillId="0" borderId="1" xfId="0" applyNumberFormat="1" applyFont="1" applyFill="1" applyBorder="1" applyAlignment="1">
      <alignment vertical="center"/>
    </xf>
    <xf numFmtId="0" fontId="31" fillId="0" borderId="1" xfId="0" applyFont="1" applyFill="1" applyBorder="1" applyAlignment="1">
      <alignment horizontal="left" vertical="center" wrapText="1"/>
    </xf>
    <xf numFmtId="3" fontId="31" fillId="0" borderId="1" xfId="0" applyNumberFormat="1" applyFont="1" applyFill="1" applyBorder="1" applyAlignment="1">
      <alignment horizontal="left" vertical="center"/>
    </xf>
    <xf numFmtId="3" fontId="31" fillId="0" borderId="1" xfId="0" applyNumberFormat="1" applyFont="1" applyFill="1" applyBorder="1" applyAlignment="1">
      <alignment horizontal="right" vertical="center" wrapText="1"/>
    </xf>
    <xf numFmtId="3" fontId="24" fillId="0" borderId="1" xfId="0" applyNumberFormat="1" applyFont="1" applyFill="1" applyBorder="1" applyAlignment="1">
      <alignment horizontal="left" vertical="center"/>
    </xf>
    <xf numFmtId="0" fontId="32" fillId="0" borderId="4" xfId="0" applyFont="1" applyBorder="1" applyAlignment="1">
      <alignment vertical="center"/>
    </xf>
    <xf numFmtId="0" fontId="32" fillId="0" borderId="4" xfId="0" applyFont="1" applyBorder="1" applyAlignment="1">
      <alignment vertical="center" wrapText="1"/>
    </xf>
    <xf numFmtId="0" fontId="24" fillId="0" borderId="4" xfId="0" applyFont="1" applyBorder="1" applyAlignment="1">
      <alignment vertical="center" wrapText="1"/>
    </xf>
    <xf numFmtId="0" fontId="31" fillId="0" borderId="4" xfId="0" applyFont="1" applyBorder="1" applyAlignment="1">
      <alignment vertical="center" wrapText="1"/>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3" fontId="33" fillId="0" borderId="1" xfId="0" applyNumberFormat="1" applyFont="1" applyBorder="1" applyAlignment="1">
      <alignment vertical="center"/>
    </xf>
    <xf numFmtId="0" fontId="31" fillId="2" borderId="1" xfId="0" applyFont="1" applyFill="1" applyBorder="1" applyAlignment="1">
      <alignment vertical="center" wrapText="1"/>
    </xf>
    <xf numFmtId="3" fontId="2" fillId="0" borderId="0" xfId="0" applyNumberFormat="1" applyFont="1" applyFill="1" applyAlignment="1">
      <alignment horizontal="center" vertical="center"/>
    </xf>
    <xf numFmtId="3" fontId="2" fillId="0" borderId="0" xfId="0" applyNumberFormat="1" applyFont="1" applyFill="1" applyAlignment="1">
      <alignment vertical="center"/>
    </xf>
    <xf numFmtId="3" fontId="1" fillId="0" borderId="0" xfId="0" applyNumberFormat="1" applyFont="1" applyFill="1"/>
    <xf numFmtId="3" fontId="2" fillId="0" borderId="0" xfId="0" applyNumberFormat="1" applyFont="1" applyFill="1" applyAlignment="1">
      <alignment horizontal="left" vertical="center"/>
    </xf>
    <xf numFmtId="3" fontId="22" fillId="0" borderId="0" xfId="0" applyNumberFormat="1" applyFont="1" applyFill="1" applyAlignment="1">
      <alignment wrapText="1"/>
    </xf>
    <xf numFmtId="3" fontId="22" fillId="0" borderId="0" xfId="0" applyNumberFormat="1" applyFont="1" applyFill="1" applyAlignment="1">
      <alignment vertical="center"/>
    </xf>
    <xf numFmtId="3" fontId="24" fillId="0" borderId="0" xfId="0" applyNumberFormat="1" applyFont="1" applyFill="1" applyAlignment="1">
      <alignment horizontal="center" vertical="center" wrapText="1"/>
    </xf>
    <xf numFmtId="3" fontId="23" fillId="0" borderId="1" xfId="0" applyNumberFormat="1" applyFont="1" applyFill="1" applyBorder="1" applyAlignment="1">
      <alignment horizontal="center" vertical="center"/>
    </xf>
    <xf numFmtId="3" fontId="23" fillId="0" borderId="1" xfId="0" applyNumberFormat="1" applyFont="1" applyFill="1" applyBorder="1" applyAlignment="1">
      <alignment horizontal="center" vertical="center" wrapText="1"/>
    </xf>
    <xf numFmtId="3" fontId="23" fillId="0" borderId="2" xfId="0" applyNumberFormat="1" applyFont="1" applyFill="1" applyBorder="1" applyAlignment="1">
      <alignment horizontal="center" vertical="center" wrapText="1"/>
    </xf>
    <xf numFmtId="3" fontId="23" fillId="0" borderId="4" xfId="0" applyNumberFormat="1" applyFont="1" applyFill="1" applyBorder="1" applyAlignment="1">
      <alignment horizontal="center" vertical="center"/>
    </xf>
    <xf numFmtId="3" fontId="23" fillId="0" borderId="6" xfId="0" applyNumberFormat="1" applyFont="1" applyFill="1" applyBorder="1" applyAlignment="1">
      <alignment horizontal="center" vertical="center"/>
    </xf>
    <xf numFmtId="3" fontId="23" fillId="0" borderId="5" xfId="0" applyNumberFormat="1" applyFont="1" applyFill="1" applyBorder="1" applyAlignment="1">
      <alignment horizontal="center" vertical="center"/>
    </xf>
    <xf numFmtId="3" fontId="23" fillId="0" borderId="17" xfId="0" applyNumberFormat="1" applyFont="1" applyFill="1" applyBorder="1" applyAlignment="1">
      <alignment horizontal="center" vertical="center"/>
    </xf>
    <xf numFmtId="3" fontId="23" fillId="0" borderId="0" xfId="0" applyNumberFormat="1" applyFont="1" applyFill="1" applyAlignment="1">
      <alignment horizontal="center" vertical="center"/>
    </xf>
    <xf numFmtId="3" fontId="23" fillId="0" borderId="3" xfId="0" applyNumberFormat="1" applyFont="1" applyFill="1" applyBorder="1" applyAlignment="1">
      <alignment horizontal="center" vertical="center" wrapText="1"/>
    </xf>
    <xf numFmtId="3" fontId="23" fillId="0" borderId="3" xfId="0" applyNumberFormat="1" applyFont="1" applyFill="1" applyBorder="1" applyAlignment="1">
      <alignment horizontal="center" vertical="center"/>
    </xf>
    <xf numFmtId="3" fontId="23" fillId="0" borderId="2" xfId="0" applyNumberFormat="1" applyFont="1" applyFill="1" applyBorder="1" applyAlignment="1">
      <alignment horizontal="center" vertical="center" wrapText="1"/>
    </xf>
    <xf numFmtId="3" fontId="31" fillId="0" borderId="2" xfId="0" applyNumberFormat="1" applyFont="1" applyFill="1" applyBorder="1" applyAlignment="1">
      <alignment horizontal="center" vertical="center" wrapText="1"/>
    </xf>
    <xf numFmtId="3" fontId="23" fillId="0" borderId="1" xfId="0" applyNumberFormat="1" applyFont="1" applyFill="1" applyBorder="1" applyAlignment="1">
      <alignment horizontal="center" vertical="center"/>
    </xf>
    <xf numFmtId="3" fontId="23" fillId="0" borderId="4" xfId="0" applyNumberFormat="1" applyFont="1" applyFill="1" applyBorder="1" applyAlignment="1">
      <alignment horizontal="center" vertical="center" wrapText="1"/>
    </xf>
    <xf numFmtId="3" fontId="23" fillId="0" borderId="6" xfId="0" applyNumberFormat="1" applyFont="1" applyFill="1" applyBorder="1" applyAlignment="1">
      <alignment horizontal="center" vertical="center" wrapText="1"/>
    </xf>
    <xf numFmtId="3" fontId="23" fillId="0" borderId="5" xfId="0" applyNumberFormat="1" applyFont="1" applyFill="1" applyBorder="1" applyAlignment="1">
      <alignment horizontal="center" vertical="center" wrapText="1"/>
    </xf>
    <xf numFmtId="3" fontId="4" fillId="0" borderId="0" xfId="0" applyNumberFormat="1" applyFont="1" applyFill="1" applyAlignment="1">
      <alignment vertical="center"/>
    </xf>
    <xf numFmtId="3" fontId="1" fillId="0" borderId="0" xfId="0" applyNumberFormat="1" applyFont="1" applyFill="1" applyAlignment="1">
      <alignment horizontal="center" vertical="center"/>
    </xf>
    <xf numFmtId="3" fontId="5" fillId="0" borderId="0" xfId="0" applyNumberFormat="1" applyFont="1" applyFill="1" applyAlignment="1">
      <alignment wrapText="1"/>
    </xf>
    <xf numFmtId="3" fontId="1" fillId="0" borderId="0" xfId="0" applyNumberFormat="1" applyFont="1" applyFill="1" applyAlignment="1">
      <alignment vertical="center"/>
    </xf>
    <xf numFmtId="3" fontId="23" fillId="0" borderId="1" xfId="0" applyNumberFormat="1" applyFont="1" applyFill="1" applyBorder="1" applyAlignment="1">
      <alignment vertical="center" wrapText="1"/>
    </xf>
    <xf numFmtId="3" fontId="23" fillId="0" borderId="4" xfId="0" applyNumberFormat="1" applyFont="1" applyFill="1" applyBorder="1" applyAlignment="1">
      <alignment horizontal="center" vertical="center" wrapText="1"/>
    </xf>
    <xf numFmtId="3" fontId="23" fillId="0" borderId="1" xfId="0" applyNumberFormat="1" applyFont="1" applyFill="1" applyBorder="1" applyAlignment="1">
      <alignment wrapText="1"/>
    </xf>
    <xf numFmtId="3" fontId="23" fillId="0" borderId="0" xfId="0" applyNumberFormat="1" applyFont="1" applyFill="1"/>
    <xf numFmtId="169" fontId="23" fillId="0" borderId="1" xfId="0" applyNumberFormat="1" applyFont="1" applyFill="1" applyBorder="1" applyAlignment="1">
      <alignment horizontal="center" vertical="center"/>
    </xf>
    <xf numFmtId="0" fontId="23" fillId="0" borderId="1" xfId="0" applyFont="1" applyFill="1" applyBorder="1" applyAlignment="1">
      <alignment vertical="center" wrapText="1"/>
    </xf>
    <xf numFmtId="167" fontId="15" fillId="0" borderId="3" xfId="1" applyNumberFormat="1" applyFont="1" applyBorder="1" applyAlignment="1">
      <alignment horizontal="center" vertical="center"/>
    </xf>
    <xf numFmtId="166" fontId="15" fillId="0" borderId="3" xfId="1" applyNumberFormat="1" applyFont="1" applyBorder="1" applyAlignment="1">
      <alignment horizontal="center" vertical="center"/>
    </xf>
    <xf numFmtId="1" fontId="15" fillId="0" borderId="3" xfId="1" applyNumberFormat="1" applyFont="1" applyBorder="1" applyAlignment="1">
      <alignment horizontal="center" vertical="center"/>
    </xf>
    <xf numFmtId="165" fontId="15" fillId="0" borderId="3" xfId="1" applyNumberFormat="1" applyFont="1" applyBorder="1" applyAlignment="1">
      <alignment horizontal="center" vertical="center"/>
    </xf>
    <xf numFmtId="37" fontId="9" fillId="0" borderId="3" xfId="1" applyNumberFormat="1" applyFont="1" applyBorder="1" applyAlignment="1">
      <alignment vertical="center" wrapText="1"/>
    </xf>
    <xf numFmtId="3" fontId="16" fillId="0" borderId="3" xfId="1" applyNumberFormat="1" applyFont="1" applyBorder="1" applyAlignment="1">
      <alignment horizontal="center" vertical="center" wrapText="1"/>
    </xf>
    <xf numFmtId="0" fontId="23" fillId="0" borderId="0" xfId="0" applyFont="1" applyFill="1" applyAlignment="1">
      <alignment horizontal="center" vertical="center"/>
    </xf>
    <xf numFmtId="0" fontId="35" fillId="0" borderId="0" xfId="0" applyFont="1" applyFill="1" applyAlignment="1">
      <alignment vertical="center"/>
    </xf>
    <xf numFmtId="0" fontId="36" fillId="0" borderId="0" xfId="0" applyFont="1" applyFill="1"/>
    <xf numFmtId="0" fontId="36" fillId="0" borderId="0" xfId="0" applyFont="1" applyFill="1" applyAlignment="1">
      <alignment horizontal="center" vertical="center"/>
    </xf>
    <xf numFmtId="0" fontId="36" fillId="0" borderId="0" xfId="0" applyFont="1" applyFill="1" applyAlignment="1">
      <alignment vertical="center"/>
    </xf>
    <xf numFmtId="0" fontId="23" fillId="0" borderId="0" xfId="0" applyFont="1" applyFill="1" applyAlignment="1">
      <alignment horizontal="center"/>
    </xf>
    <xf numFmtId="0" fontId="35" fillId="0" borderId="0" xfId="0" applyFont="1" applyFill="1" applyAlignment="1"/>
    <xf numFmtId="0" fontId="48" fillId="0" borderId="0" xfId="0" applyFont="1" applyFill="1" applyAlignment="1">
      <alignment horizontal="center"/>
    </xf>
    <xf numFmtId="0" fontId="41" fillId="0" borderId="0" xfId="0" applyFont="1" applyFill="1" applyAlignment="1"/>
    <xf numFmtId="0" fontId="35" fillId="0" borderId="0" xfId="0" applyFont="1" applyFill="1" applyAlignment="1">
      <alignment horizontal="center" vertical="center"/>
    </xf>
    <xf numFmtId="0" fontId="35" fillId="0" borderId="0" xfId="0" applyFont="1" applyFill="1" applyBorder="1" applyAlignment="1">
      <alignment horizontal="center" vertical="center"/>
    </xf>
    <xf numFmtId="0" fontId="35" fillId="0" borderId="0" xfId="0" applyFont="1" applyFill="1" applyBorder="1" applyAlignment="1">
      <alignment horizontal="left" vertical="center"/>
    </xf>
    <xf numFmtId="3" fontId="35" fillId="0" borderId="0" xfId="0" applyNumberFormat="1" applyFont="1" applyFill="1" applyBorder="1" applyAlignment="1">
      <alignment horizontal="right" vertical="center"/>
    </xf>
    <xf numFmtId="0" fontId="35" fillId="0" borderId="0" xfId="0" applyFont="1" applyFill="1" applyAlignment="1">
      <alignment horizontal="center" vertical="center"/>
    </xf>
    <xf numFmtId="3" fontId="35" fillId="0" borderId="0" xfId="0" applyNumberFormat="1" applyFont="1" applyFill="1" applyAlignment="1">
      <alignment vertical="center"/>
    </xf>
    <xf numFmtId="0" fontId="35" fillId="0" borderId="1" xfId="0" applyFont="1" applyFill="1" applyBorder="1" applyAlignment="1">
      <alignment horizontal="center" vertical="center" wrapText="1"/>
    </xf>
    <xf numFmtId="0" fontId="35" fillId="0" borderId="1" xfId="0" applyFont="1" applyFill="1" applyBorder="1" applyAlignment="1">
      <alignment horizontal="center" vertical="center"/>
    </xf>
    <xf numFmtId="0" fontId="35" fillId="0" borderId="2" xfId="0" applyFont="1" applyFill="1" applyBorder="1" applyAlignment="1">
      <alignment horizontal="center" vertical="center" wrapText="1"/>
    </xf>
    <xf numFmtId="3" fontId="35" fillId="0" borderId="1" xfId="0" applyNumberFormat="1" applyFont="1" applyFill="1" applyBorder="1" applyAlignment="1">
      <alignment horizontal="center" vertical="center"/>
    </xf>
    <xf numFmtId="3" fontId="35" fillId="0" borderId="1" xfId="0" applyNumberFormat="1" applyFont="1" applyFill="1" applyBorder="1" applyAlignment="1">
      <alignment horizontal="center" vertical="center" wrapText="1"/>
    </xf>
    <xf numFmtId="0" fontId="35" fillId="0" borderId="3" xfId="0" applyFont="1" applyFill="1" applyBorder="1" applyAlignment="1">
      <alignment horizontal="center" vertical="center" wrapText="1"/>
    </xf>
    <xf numFmtId="3" fontId="35" fillId="0" borderId="1" xfId="0" applyNumberFormat="1" applyFont="1" applyFill="1" applyBorder="1" applyAlignment="1">
      <alignment horizontal="center" vertical="center" wrapText="1"/>
    </xf>
    <xf numFmtId="3" fontId="35" fillId="0" borderId="1" xfId="0" applyNumberFormat="1" applyFont="1" applyFill="1" applyBorder="1" applyAlignment="1">
      <alignment horizontal="center" vertical="center"/>
    </xf>
    <xf numFmtId="0" fontId="35" fillId="0" borderId="1" xfId="0" applyFont="1" applyFill="1" applyBorder="1" applyAlignment="1">
      <alignment horizontal="center" vertical="center" wrapText="1"/>
    </xf>
    <xf numFmtId="0" fontId="35" fillId="0" borderId="3" xfId="0" applyFont="1" applyFill="1" applyBorder="1" applyAlignment="1">
      <alignment horizontal="center" vertical="center" wrapText="1"/>
    </xf>
    <xf numFmtId="3" fontId="35" fillId="0" borderId="2" xfId="0" applyNumberFormat="1" applyFont="1" applyFill="1" applyBorder="1" applyAlignment="1">
      <alignment horizontal="center" vertical="center"/>
    </xf>
    <xf numFmtId="3" fontId="35" fillId="0" borderId="2" xfId="0" applyNumberFormat="1" applyFont="1" applyFill="1" applyBorder="1" applyAlignment="1">
      <alignment horizontal="right" vertical="center"/>
    </xf>
    <xf numFmtId="0" fontId="36" fillId="0" borderId="1" xfId="0" applyFont="1" applyFill="1" applyBorder="1" applyAlignment="1">
      <alignment horizontal="center" vertical="center" wrapText="1"/>
    </xf>
    <xf numFmtId="3" fontId="54" fillId="0" borderId="1" xfId="0" applyNumberFormat="1" applyFont="1" applyFill="1" applyBorder="1" applyAlignment="1">
      <alignment vertical="center"/>
    </xf>
    <xf numFmtId="3" fontId="55" fillId="0" borderId="0" xfId="0" applyNumberFormat="1" applyFont="1" applyFill="1" applyAlignment="1">
      <alignment horizontal="center" vertical="center"/>
    </xf>
    <xf numFmtId="3" fontId="36" fillId="0" borderId="0" xfId="0" applyNumberFormat="1" applyFont="1" applyFill="1" applyAlignment="1">
      <alignment horizontal="center" vertical="center"/>
    </xf>
    <xf numFmtId="3" fontId="36" fillId="0" borderId="0" xfId="0" applyNumberFormat="1" applyFont="1" applyFill="1" applyAlignment="1">
      <alignment vertical="center"/>
    </xf>
    <xf numFmtId="3" fontId="36" fillId="0" borderId="0" xfId="0" applyNumberFormat="1" applyFont="1" applyFill="1"/>
    <xf numFmtId="0" fontId="36" fillId="0" borderId="1" xfId="0" applyFont="1" applyFill="1" applyBorder="1" applyAlignment="1">
      <alignment vertical="center"/>
    </xf>
    <xf numFmtId="3" fontId="36" fillId="0" borderId="1" xfId="0" applyNumberFormat="1" applyFont="1" applyFill="1" applyBorder="1" applyAlignment="1">
      <alignment horizontal="right" vertical="center"/>
    </xf>
    <xf numFmtId="3" fontId="55" fillId="0" borderId="1" xfId="0" applyNumberFormat="1" applyFont="1" applyFill="1" applyBorder="1" applyAlignment="1">
      <alignment horizontal="right" vertical="center"/>
    </xf>
    <xf numFmtId="3" fontId="36" fillId="0" borderId="1" xfId="0" applyNumberFormat="1" applyFont="1" applyFill="1" applyBorder="1" applyAlignment="1">
      <alignment vertical="center"/>
    </xf>
    <xf numFmtId="3" fontId="36" fillId="0" borderId="1" xfId="0" applyNumberFormat="1" applyFont="1" applyFill="1" applyBorder="1"/>
    <xf numFmtId="0" fontId="36" fillId="0" borderId="2" xfId="0" applyFont="1" applyFill="1" applyBorder="1" applyAlignment="1">
      <alignment horizontal="center" vertical="center" wrapText="1"/>
    </xf>
    <xf numFmtId="0" fontId="36" fillId="0" borderId="3" xfId="0" applyFont="1" applyFill="1" applyBorder="1" applyAlignment="1">
      <alignment horizontal="center" vertical="center" wrapText="1"/>
    </xf>
    <xf numFmtId="3" fontId="53" fillId="0" borderId="1" xfId="0" applyNumberFormat="1" applyFont="1" applyFill="1" applyBorder="1" applyAlignment="1">
      <alignment vertical="center"/>
    </xf>
    <xf numFmtId="3" fontId="35" fillId="0" borderId="1" xfId="0" applyNumberFormat="1" applyFont="1" applyFill="1" applyBorder="1" applyAlignment="1">
      <alignment horizontal="right" vertical="center"/>
    </xf>
    <xf numFmtId="3" fontId="35" fillId="0" borderId="1" xfId="0" applyNumberFormat="1" applyFont="1" applyFill="1" applyBorder="1" applyAlignment="1">
      <alignment vertical="center"/>
    </xf>
    <xf numFmtId="0" fontId="35" fillId="0" borderId="0" xfId="0" applyFont="1" applyFill="1"/>
    <xf numFmtId="170" fontId="35" fillId="0" borderId="0" xfId="3" applyNumberFormat="1" applyFont="1" applyFill="1" applyAlignment="1">
      <alignment horizontal="center" vertical="center"/>
    </xf>
    <xf numFmtId="170" fontId="35" fillId="0" borderId="0" xfId="3" applyNumberFormat="1" applyFont="1" applyFill="1" applyAlignment="1">
      <alignment vertical="center"/>
    </xf>
    <xf numFmtId="3" fontId="35" fillId="0" borderId="0" xfId="0" applyNumberFormat="1" applyFont="1" applyFill="1" applyAlignment="1">
      <alignment horizontal="right" vertical="center"/>
    </xf>
    <xf numFmtId="3" fontId="35" fillId="0" borderId="0" xfId="0" applyNumberFormat="1" applyFont="1" applyFill="1" applyBorder="1" applyAlignment="1">
      <alignment horizontal="center" vertical="center"/>
    </xf>
    <xf numFmtId="3" fontId="35" fillId="0" borderId="0" xfId="0" applyNumberFormat="1" applyFont="1" applyFill="1" applyAlignment="1">
      <alignment horizontal="center" vertical="center"/>
    </xf>
    <xf numFmtId="170" fontId="35" fillId="0" borderId="0" xfId="0" applyNumberFormat="1" applyFont="1" applyFill="1" applyAlignment="1">
      <alignment horizontal="center" vertical="center"/>
    </xf>
    <xf numFmtId="170" fontId="36" fillId="0" borderId="0" xfId="0" applyNumberFormat="1" applyFont="1" applyFill="1" applyAlignment="1">
      <alignment horizontal="center" vertical="center"/>
    </xf>
    <xf numFmtId="3" fontId="55" fillId="0" borderId="1" xfId="0" applyNumberFormat="1" applyFont="1" applyFill="1" applyBorder="1" applyAlignment="1">
      <alignment vertical="center"/>
    </xf>
    <xf numFmtId="0" fontId="55" fillId="0" borderId="1" xfId="0" applyFont="1" applyFill="1" applyBorder="1" applyAlignment="1">
      <alignment vertical="center"/>
    </xf>
    <xf numFmtId="0" fontId="36" fillId="0" borderId="1" xfId="0" applyFont="1" applyFill="1" applyBorder="1" applyAlignment="1">
      <alignment vertical="center" wrapText="1"/>
    </xf>
    <xf numFmtId="0" fontId="35" fillId="0" borderId="1" xfId="0" applyFont="1" applyFill="1" applyBorder="1" applyAlignment="1">
      <alignment vertical="center"/>
    </xf>
    <xf numFmtId="0" fontId="35" fillId="0" borderId="1" xfId="0" applyFont="1" applyFill="1" applyBorder="1" applyAlignment="1">
      <alignment horizontal="left" vertical="center"/>
    </xf>
    <xf numFmtId="0" fontId="36" fillId="0" borderId="2"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36" fillId="0" borderId="1" xfId="0" applyFont="1" applyFill="1" applyBorder="1" applyAlignment="1">
      <alignment horizontal="center"/>
    </xf>
    <xf numFmtId="0" fontId="36" fillId="0" borderId="0" xfId="0" applyFont="1" applyFill="1" applyAlignment="1">
      <alignment horizontal="center"/>
    </xf>
    <xf numFmtId="3" fontId="23" fillId="0" borderId="1" xfId="0" applyNumberFormat="1" applyFont="1" applyFill="1" applyBorder="1" applyAlignment="1">
      <alignment horizontal="left" vertical="center" wrapText="1"/>
    </xf>
    <xf numFmtId="0" fontId="35" fillId="0" borderId="1" xfId="0" applyFont="1" applyFill="1" applyBorder="1" applyAlignment="1">
      <alignment horizontal="center" vertical="center"/>
    </xf>
    <xf numFmtId="3" fontId="22" fillId="0" borderId="1" xfId="0" applyNumberFormat="1" applyFont="1" applyFill="1" applyBorder="1" applyAlignment="1">
      <alignment horizontal="right" vertical="center"/>
    </xf>
    <xf numFmtId="0" fontId="10" fillId="0" borderId="0" xfId="0" applyNumberFormat="1" applyFont="1" applyAlignment="1">
      <alignment vertical="center" wrapText="1"/>
    </xf>
    <xf numFmtId="0" fontId="10" fillId="0" borderId="0" xfId="0" applyNumberFormat="1" applyFont="1" applyAlignment="1">
      <alignment vertical="center"/>
    </xf>
    <xf numFmtId="173" fontId="18" fillId="0" borderId="0" xfId="0" applyNumberFormat="1" applyFont="1" applyAlignment="1">
      <alignment vertical="center"/>
    </xf>
    <xf numFmtId="3" fontId="28" fillId="0" borderId="0" xfId="0" applyNumberFormat="1" applyFont="1"/>
    <xf numFmtId="3" fontId="18" fillId="0" borderId="0" xfId="0" applyNumberFormat="1" applyFont="1" applyAlignment="1">
      <alignment horizontal="left" vertical="center" wrapText="1"/>
    </xf>
    <xf numFmtId="3" fontId="23" fillId="0" borderId="5" xfId="0" applyNumberFormat="1" applyFont="1" applyFill="1" applyBorder="1" applyAlignment="1">
      <alignment horizontal="center" vertical="center" wrapText="1"/>
    </xf>
    <xf numFmtId="49" fontId="10" fillId="0" borderId="0" xfId="3" applyNumberFormat="1" applyFont="1" applyAlignment="1">
      <alignment vertical="center" wrapText="1"/>
    </xf>
    <xf numFmtId="49" fontId="10" fillId="0" borderId="0" xfId="3" applyNumberFormat="1" applyFont="1" applyAlignment="1">
      <alignment horizontal="center" vertical="center"/>
    </xf>
  </cellXfs>
  <cellStyles count="5">
    <cellStyle name="Comma" xfId="3" builtinId="3"/>
    <cellStyle name="Comma_Giay de nghi thanh toan tai chinh" xfId="4" xr:uid="{00000000-0005-0000-0000-000001000000}"/>
    <cellStyle name="Normal" xfId="0" builtinId="0"/>
    <cellStyle name="Normal_TQT Nam 2017 ngay 12-5-2017-DC" xfId="1" xr:uid="{00000000-0005-0000-0000-000003000000}"/>
    <cellStyle name="Style 1" xfId="2" xr:uid="{00000000-0005-0000-0000-000005000000}"/>
  </cellStyles>
  <dxfs count="0"/>
  <tableStyles count="0" defaultTableStyle="TableStyleMedium2" defaultPivotStyle="PivotStyleLight16"/>
  <colors>
    <mruColors>
      <color rgb="FFFF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104775</xdr:colOff>
      <xdr:row>25</xdr:row>
      <xdr:rowOff>28575</xdr:rowOff>
    </xdr:from>
    <xdr:to>
      <xdr:col>6</xdr:col>
      <xdr:colOff>466725</xdr:colOff>
      <xdr:row>33</xdr:row>
      <xdr:rowOff>114300</xdr:rowOff>
    </xdr:to>
    <xdr:sp macro="" textlink="">
      <xdr:nvSpPr>
        <xdr:cNvPr id="2" name="TextBox 1">
          <a:extLst>
            <a:ext uri="{FF2B5EF4-FFF2-40B4-BE49-F238E27FC236}">
              <a16:creationId xmlns:a16="http://schemas.microsoft.com/office/drawing/2014/main" id="{774F76AC-AC52-4D15-9B10-349C8B4D5AF6}"/>
            </a:ext>
          </a:extLst>
        </xdr:cNvPr>
        <xdr:cNvSpPr txBox="1"/>
      </xdr:nvSpPr>
      <xdr:spPr>
        <a:xfrm>
          <a:off x="104775" y="7429500"/>
          <a:ext cx="2609850" cy="18859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300" b="1">
            <a:latin typeface="+mj-lt"/>
          </a:endParaRPr>
        </a:p>
        <a:p>
          <a:pPr algn="ctr"/>
          <a:r>
            <a:rPr lang="en-US" sz="1300" b="1">
              <a:latin typeface="Times New Roman" panose="02020603050405020304" pitchFamily="18" charset="0"/>
              <a:cs typeface="Times New Roman" panose="02020603050405020304" pitchFamily="18" charset="0"/>
            </a:rPr>
            <a:t>NGƯỜI</a:t>
          </a:r>
          <a:r>
            <a:rPr lang="en-US" sz="1300" b="1" baseline="0">
              <a:latin typeface="Times New Roman" panose="02020603050405020304" pitchFamily="18" charset="0"/>
              <a:cs typeface="Times New Roman" panose="02020603050405020304" pitchFamily="18" charset="0"/>
            </a:rPr>
            <a:t> LẬP</a:t>
          </a:r>
          <a:endParaRPr lang="en-US" sz="1300" b="1">
            <a:latin typeface="Times New Roman" panose="02020603050405020304" pitchFamily="18" charset="0"/>
            <a:cs typeface="Times New Roman" panose="02020603050405020304" pitchFamily="18" charset="0"/>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r>
            <a:rPr lang="en-US" sz="1300" b="1">
              <a:latin typeface="Times New Roman" panose="02020603050405020304" pitchFamily="18" charset="0"/>
              <a:cs typeface="Times New Roman" panose="02020603050405020304" pitchFamily="18" charset="0"/>
            </a:rPr>
            <a:t>Trung</a:t>
          </a:r>
          <a:r>
            <a:rPr lang="en-US" sz="1300" b="1" baseline="0">
              <a:latin typeface="Times New Roman" panose="02020603050405020304" pitchFamily="18" charset="0"/>
              <a:cs typeface="Times New Roman" panose="02020603050405020304" pitchFamily="18" charset="0"/>
            </a:rPr>
            <a:t> tá Phạm Minh Trường</a:t>
          </a:r>
          <a:endParaRPr lang="en-US" sz="1300" b="1">
            <a:latin typeface="Times New Roman" panose="02020603050405020304" pitchFamily="18" charset="0"/>
            <a:cs typeface="Times New Roman" panose="02020603050405020304" pitchFamily="18" charset="0"/>
          </a:endParaRPr>
        </a:p>
      </xdr:txBody>
    </xdr:sp>
    <xdr:clientData/>
  </xdr:twoCellAnchor>
  <xdr:twoCellAnchor>
    <xdr:from>
      <xdr:col>0</xdr:col>
      <xdr:colOff>104775</xdr:colOff>
      <xdr:row>25</xdr:row>
      <xdr:rowOff>28575</xdr:rowOff>
    </xdr:from>
    <xdr:to>
      <xdr:col>6</xdr:col>
      <xdr:colOff>466725</xdr:colOff>
      <xdr:row>33</xdr:row>
      <xdr:rowOff>114300</xdr:rowOff>
    </xdr:to>
    <xdr:sp macro="" textlink="">
      <xdr:nvSpPr>
        <xdr:cNvPr id="3" name="TextBox 2">
          <a:extLst>
            <a:ext uri="{FF2B5EF4-FFF2-40B4-BE49-F238E27FC236}">
              <a16:creationId xmlns:a16="http://schemas.microsoft.com/office/drawing/2014/main" id="{700F368E-48AC-4F85-ABBF-BCDA9C70D818}"/>
            </a:ext>
          </a:extLst>
        </xdr:cNvPr>
        <xdr:cNvSpPr txBox="1"/>
      </xdr:nvSpPr>
      <xdr:spPr>
        <a:xfrm>
          <a:off x="104775" y="7429500"/>
          <a:ext cx="2609850" cy="18859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300" b="1">
            <a:latin typeface="+mj-lt"/>
          </a:endParaRPr>
        </a:p>
        <a:p>
          <a:pPr algn="ctr"/>
          <a:r>
            <a:rPr lang="en-US" sz="1300" b="1">
              <a:latin typeface="Times New Roman" panose="02020603050405020304" pitchFamily="18" charset="0"/>
              <a:cs typeface="Times New Roman" panose="02020603050405020304" pitchFamily="18" charset="0"/>
            </a:rPr>
            <a:t>NGƯỜI</a:t>
          </a:r>
          <a:r>
            <a:rPr lang="en-US" sz="1300" b="1" baseline="0">
              <a:latin typeface="Times New Roman" panose="02020603050405020304" pitchFamily="18" charset="0"/>
              <a:cs typeface="Times New Roman" panose="02020603050405020304" pitchFamily="18" charset="0"/>
            </a:rPr>
            <a:t> LẬP</a:t>
          </a:r>
          <a:endParaRPr lang="en-US" sz="1300" b="1">
            <a:latin typeface="Times New Roman" panose="02020603050405020304" pitchFamily="18" charset="0"/>
            <a:cs typeface="Times New Roman" panose="02020603050405020304" pitchFamily="18" charset="0"/>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r>
            <a:rPr lang="en-US" sz="1300" b="1">
              <a:latin typeface="Times New Roman" panose="02020603050405020304" pitchFamily="18" charset="0"/>
              <a:cs typeface="Times New Roman" panose="02020603050405020304" pitchFamily="18" charset="0"/>
            </a:rPr>
            <a:t>Trung</a:t>
          </a:r>
          <a:r>
            <a:rPr lang="en-US" sz="1300" b="1" baseline="0">
              <a:latin typeface="Times New Roman" panose="02020603050405020304" pitchFamily="18" charset="0"/>
              <a:cs typeface="Times New Roman" panose="02020603050405020304" pitchFamily="18" charset="0"/>
            </a:rPr>
            <a:t> tá Phạm Minh Trường</a:t>
          </a:r>
          <a:endParaRPr lang="en-US" sz="1300" b="1">
            <a:latin typeface="Times New Roman" panose="02020603050405020304" pitchFamily="18" charset="0"/>
            <a:cs typeface="Times New Roman" panose="02020603050405020304" pitchFamily="18" charset="0"/>
          </a:endParaRPr>
        </a:p>
      </xdr:txBody>
    </xdr:sp>
    <xdr:clientData/>
  </xdr:twoCellAnchor>
  <xdr:twoCellAnchor>
    <xdr:from>
      <xdr:col>0</xdr:col>
      <xdr:colOff>104775</xdr:colOff>
      <xdr:row>25</xdr:row>
      <xdr:rowOff>81395</xdr:rowOff>
    </xdr:from>
    <xdr:to>
      <xdr:col>6</xdr:col>
      <xdr:colOff>466725</xdr:colOff>
      <xdr:row>33</xdr:row>
      <xdr:rowOff>167120</xdr:rowOff>
    </xdr:to>
    <xdr:sp macro="" textlink="">
      <xdr:nvSpPr>
        <xdr:cNvPr id="4" name="TextBox 3">
          <a:extLst>
            <a:ext uri="{FF2B5EF4-FFF2-40B4-BE49-F238E27FC236}">
              <a16:creationId xmlns:a16="http://schemas.microsoft.com/office/drawing/2014/main" id="{AC70E9CB-0571-469A-A3C0-EE751C985767}"/>
            </a:ext>
          </a:extLst>
        </xdr:cNvPr>
        <xdr:cNvSpPr txBox="1"/>
      </xdr:nvSpPr>
      <xdr:spPr>
        <a:xfrm>
          <a:off x="104775" y="7482320"/>
          <a:ext cx="2609850" cy="18859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300" b="1">
            <a:latin typeface="+mj-lt"/>
          </a:endParaRPr>
        </a:p>
        <a:p>
          <a:pPr algn="ctr"/>
          <a:r>
            <a:rPr lang="en-US" sz="1300" b="1">
              <a:latin typeface="Times New Roman" panose="02020603050405020304" pitchFamily="18" charset="0"/>
              <a:cs typeface="Times New Roman" panose="02020603050405020304" pitchFamily="18" charset="0"/>
            </a:rPr>
            <a:t>NGƯỜI</a:t>
          </a:r>
          <a:r>
            <a:rPr lang="en-US" sz="1300" b="1" baseline="0">
              <a:latin typeface="Times New Roman" panose="02020603050405020304" pitchFamily="18" charset="0"/>
              <a:cs typeface="Times New Roman" panose="02020603050405020304" pitchFamily="18" charset="0"/>
            </a:rPr>
            <a:t> LẬP</a:t>
          </a:r>
          <a:endParaRPr lang="en-US" sz="1300" b="1">
            <a:latin typeface="Times New Roman" panose="02020603050405020304" pitchFamily="18" charset="0"/>
            <a:cs typeface="Times New Roman" panose="02020603050405020304" pitchFamily="18" charset="0"/>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xdr:txBody>
    </xdr:sp>
    <xdr:clientData/>
  </xdr:twoCellAnchor>
  <xdr:twoCellAnchor>
    <xdr:from>
      <xdr:col>6</xdr:col>
      <xdr:colOff>736021</xdr:colOff>
      <xdr:row>25</xdr:row>
      <xdr:rowOff>71871</xdr:rowOff>
    </xdr:from>
    <xdr:to>
      <xdr:col>7</xdr:col>
      <xdr:colOff>1063335</xdr:colOff>
      <xdr:row>33</xdr:row>
      <xdr:rowOff>81396</xdr:rowOff>
    </xdr:to>
    <xdr:sp macro="" textlink="">
      <xdr:nvSpPr>
        <xdr:cNvPr id="5" name="TextBox 4">
          <a:extLst>
            <a:ext uri="{FF2B5EF4-FFF2-40B4-BE49-F238E27FC236}">
              <a16:creationId xmlns:a16="http://schemas.microsoft.com/office/drawing/2014/main" id="{8C65A1F1-A31F-4075-A716-FFE0DF27D9DA}"/>
            </a:ext>
          </a:extLst>
        </xdr:cNvPr>
        <xdr:cNvSpPr txBox="1"/>
      </xdr:nvSpPr>
      <xdr:spPr>
        <a:xfrm>
          <a:off x="2983921" y="7472796"/>
          <a:ext cx="3099089" cy="1809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300" i="1">
              <a:latin typeface="+mj-lt"/>
            </a:rPr>
            <a:t>Ngày </a:t>
          </a:r>
          <a:r>
            <a:rPr lang="en-US" sz="1300" i="1" baseline="0">
              <a:latin typeface="+mj-lt"/>
            </a:rPr>
            <a:t>        </a:t>
          </a:r>
          <a:r>
            <a:rPr lang="vi-VN" sz="1300" i="1">
              <a:latin typeface="+mj-lt"/>
            </a:rPr>
            <a:t>tháng </a:t>
          </a:r>
          <a:r>
            <a:rPr lang="en-US" sz="1300" i="1" baseline="0">
              <a:latin typeface="+mj-lt"/>
            </a:rPr>
            <a:t>    </a:t>
          </a:r>
          <a:r>
            <a:rPr lang="vi-VN" sz="1300" i="1">
              <a:latin typeface="+mj-lt"/>
            </a:rPr>
            <a:t> năm 202</a:t>
          </a:r>
          <a:r>
            <a:rPr lang="en-US" sz="1300" i="1">
              <a:latin typeface="+mj-lt"/>
            </a:rPr>
            <a:t>6</a:t>
          </a:r>
        </a:p>
        <a:p>
          <a:pPr algn="ctr"/>
          <a:r>
            <a:rPr lang="en-US" sz="1300" b="1">
              <a:latin typeface="Times New Roman" panose="02020603050405020304" pitchFamily="18" charset="0"/>
              <a:cs typeface="Times New Roman" panose="02020603050405020304" pitchFamily="18" charset="0"/>
            </a:rPr>
            <a:t>THỦ</a:t>
          </a:r>
          <a:r>
            <a:rPr lang="en-US" sz="1300" b="1" baseline="0">
              <a:latin typeface="Times New Roman" panose="02020603050405020304" pitchFamily="18" charset="0"/>
              <a:cs typeface="Times New Roman" panose="02020603050405020304" pitchFamily="18" charset="0"/>
            </a:rPr>
            <a:t> TRƯỞNG ĐƠN VỊ</a:t>
          </a:r>
          <a:endParaRPr lang="en-US" sz="1300" b="1">
            <a:latin typeface="Times New Roman" panose="02020603050405020304" pitchFamily="18" charset="0"/>
            <a:cs typeface="Times New Roman" panose="02020603050405020304" pitchFamily="18" charset="0"/>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xdr:colOff>
      <xdr:row>3</xdr:row>
      <xdr:rowOff>0</xdr:rowOff>
    </xdr:from>
    <xdr:to>
      <xdr:col>3</xdr:col>
      <xdr:colOff>1295400</xdr:colOff>
      <xdr:row>3</xdr:row>
      <xdr:rowOff>285750</xdr:rowOff>
    </xdr:to>
    <xdr:cxnSp macro="">
      <xdr:nvCxnSpPr>
        <xdr:cNvPr id="10" name="Straight Connector 9">
          <a:extLst>
            <a:ext uri="{FF2B5EF4-FFF2-40B4-BE49-F238E27FC236}">
              <a16:creationId xmlns:a16="http://schemas.microsoft.com/office/drawing/2014/main" id="{29DF1294-BD95-45EE-AAC8-5F2E55F94073}"/>
            </a:ext>
          </a:extLst>
        </xdr:cNvPr>
        <xdr:cNvCxnSpPr/>
      </xdr:nvCxnSpPr>
      <xdr:spPr>
        <a:xfrm>
          <a:off x="3552825" y="762000"/>
          <a:ext cx="1228725" cy="2857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xdr:colOff>
      <xdr:row>3</xdr:row>
      <xdr:rowOff>19050</xdr:rowOff>
    </xdr:from>
    <xdr:to>
      <xdr:col>4</xdr:col>
      <xdr:colOff>9525</xdr:colOff>
      <xdr:row>4</xdr:row>
      <xdr:rowOff>0</xdr:rowOff>
    </xdr:to>
    <xdr:cxnSp macro="">
      <xdr:nvCxnSpPr>
        <xdr:cNvPr id="11" name="Straight Connector 10">
          <a:extLst>
            <a:ext uri="{FF2B5EF4-FFF2-40B4-BE49-F238E27FC236}">
              <a16:creationId xmlns:a16="http://schemas.microsoft.com/office/drawing/2014/main" id="{2D800720-1739-4997-AEA6-DC8B2BF50774}"/>
            </a:ext>
          </a:extLst>
        </xdr:cNvPr>
        <xdr:cNvCxnSpPr/>
      </xdr:nvCxnSpPr>
      <xdr:spPr>
        <a:xfrm flipH="1">
          <a:off x="3533775" y="781050"/>
          <a:ext cx="1304925" cy="2952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23</xdr:row>
      <xdr:rowOff>28575</xdr:rowOff>
    </xdr:from>
    <xdr:to>
      <xdr:col>2</xdr:col>
      <xdr:colOff>495299</xdr:colOff>
      <xdr:row>32</xdr:row>
      <xdr:rowOff>28575</xdr:rowOff>
    </xdr:to>
    <xdr:sp macro="" textlink="">
      <xdr:nvSpPr>
        <xdr:cNvPr id="12" name="TextBox 11">
          <a:extLst>
            <a:ext uri="{FF2B5EF4-FFF2-40B4-BE49-F238E27FC236}">
              <a16:creationId xmlns:a16="http://schemas.microsoft.com/office/drawing/2014/main" id="{AECE3453-927B-42D7-AECE-5306C2A2D7CD}"/>
            </a:ext>
          </a:extLst>
        </xdr:cNvPr>
        <xdr:cNvSpPr txBox="1"/>
      </xdr:nvSpPr>
      <xdr:spPr>
        <a:xfrm>
          <a:off x="0" y="7048500"/>
          <a:ext cx="2438399" cy="18859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300" b="1">
            <a:latin typeface="+mj-lt"/>
          </a:endParaRPr>
        </a:p>
        <a:p>
          <a:pPr algn="ctr"/>
          <a:r>
            <a:rPr lang="en-US" sz="1300" b="1">
              <a:latin typeface="Times New Roman" panose="02020603050405020304" pitchFamily="18" charset="0"/>
              <a:cs typeface="Times New Roman" panose="02020603050405020304" pitchFamily="18" charset="0"/>
            </a:rPr>
            <a:t>NGƯỜI</a:t>
          </a:r>
          <a:r>
            <a:rPr lang="en-US" sz="1300" b="1" baseline="0">
              <a:latin typeface="Times New Roman" panose="02020603050405020304" pitchFamily="18" charset="0"/>
              <a:cs typeface="Times New Roman" panose="02020603050405020304" pitchFamily="18" charset="0"/>
            </a:rPr>
            <a:t> LẬP</a:t>
          </a:r>
          <a:endParaRPr lang="en-US" sz="1300" b="1">
            <a:latin typeface="Times New Roman" panose="02020603050405020304" pitchFamily="18" charset="0"/>
            <a:cs typeface="Times New Roman" panose="02020603050405020304" pitchFamily="18" charset="0"/>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xdr:txBody>
    </xdr:sp>
    <xdr:clientData/>
  </xdr:twoCellAnchor>
  <xdr:twoCellAnchor>
    <xdr:from>
      <xdr:col>2</xdr:col>
      <xdr:colOff>1142999</xdr:colOff>
      <xdr:row>23</xdr:row>
      <xdr:rowOff>28575</xdr:rowOff>
    </xdr:from>
    <xdr:to>
      <xdr:col>4</xdr:col>
      <xdr:colOff>1047750</xdr:colOff>
      <xdr:row>32</xdr:row>
      <xdr:rowOff>171450</xdr:rowOff>
    </xdr:to>
    <xdr:sp macro="" textlink="">
      <xdr:nvSpPr>
        <xdr:cNvPr id="13" name="TextBox 12">
          <a:extLst>
            <a:ext uri="{FF2B5EF4-FFF2-40B4-BE49-F238E27FC236}">
              <a16:creationId xmlns:a16="http://schemas.microsoft.com/office/drawing/2014/main" id="{A853D064-698C-48CB-A63A-BAD33883ACEB}"/>
            </a:ext>
          </a:extLst>
        </xdr:cNvPr>
        <xdr:cNvSpPr txBox="1"/>
      </xdr:nvSpPr>
      <xdr:spPr>
        <a:xfrm>
          <a:off x="3086099" y="7048500"/>
          <a:ext cx="2514601" cy="20288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300" i="1">
              <a:latin typeface="+mj-lt"/>
            </a:rPr>
            <a:t>Ngày </a:t>
          </a:r>
          <a:r>
            <a:rPr lang="en-US" sz="1300" i="1" baseline="0">
              <a:latin typeface="+mj-lt"/>
            </a:rPr>
            <a:t>        </a:t>
          </a:r>
          <a:r>
            <a:rPr lang="vi-VN" sz="1300" i="1">
              <a:latin typeface="+mj-lt"/>
            </a:rPr>
            <a:t>tháng </a:t>
          </a:r>
          <a:r>
            <a:rPr lang="en-US" sz="1300" i="1" baseline="0">
              <a:latin typeface="+mj-lt"/>
            </a:rPr>
            <a:t> </a:t>
          </a:r>
          <a:r>
            <a:rPr lang="en-US" sz="1300" i="1">
              <a:latin typeface="+mj-lt"/>
            </a:rPr>
            <a:t> </a:t>
          </a:r>
          <a:r>
            <a:rPr lang="vi-VN" sz="1300" i="1">
              <a:latin typeface="+mj-lt"/>
            </a:rPr>
            <a:t>năm 202</a:t>
          </a:r>
          <a:r>
            <a:rPr lang="en-US" sz="1300" i="1">
              <a:latin typeface="+mj-lt"/>
            </a:rPr>
            <a:t>6</a:t>
          </a:r>
        </a:p>
        <a:p>
          <a:pPr algn="ctr"/>
          <a:r>
            <a:rPr lang="en-US" sz="1300" b="1">
              <a:latin typeface="Times New Roman" panose="02020603050405020304" pitchFamily="18" charset="0"/>
              <a:cs typeface="Times New Roman" panose="02020603050405020304" pitchFamily="18" charset="0"/>
            </a:rPr>
            <a:t>THỦ</a:t>
          </a:r>
          <a:r>
            <a:rPr lang="en-US" sz="1300" b="1" baseline="0">
              <a:latin typeface="Times New Roman" panose="02020603050405020304" pitchFamily="18" charset="0"/>
              <a:cs typeface="Times New Roman" panose="02020603050405020304" pitchFamily="18" charset="0"/>
            </a:rPr>
            <a:t> TRƯỞNG ĐƠN VỊ</a:t>
          </a:r>
          <a:endParaRPr lang="en-US" sz="1300" b="1">
            <a:latin typeface="Times New Roman" panose="02020603050405020304" pitchFamily="18" charset="0"/>
            <a:cs typeface="Times New Roman" panose="02020603050405020304" pitchFamily="18" charset="0"/>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endParaRPr lang="en-US" sz="1300" b="1">
            <a:latin typeface="+mj-lt"/>
          </a:endParaRPr>
        </a:p>
        <a:p>
          <a:pPr algn="ctr"/>
          <a:r>
            <a:rPr lang="en-US" sz="1300" b="1">
              <a:latin typeface="Times New Roman" panose="02020603050405020304" pitchFamily="18" charset="0"/>
              <a:cs typeface="Times New Roman" panose="02020603050405020304" pitchFamily="18" charset="0"/>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733425</xdr:colOff>
      <xdr:row>13</xdr:row>
      <xdr:rowOff>9525</xdr:rowOff>
    </xdr:from>
    <xdr:to>
      <xdr:col>2</xdr:col>
      <xdr:colOff>600075</xdr:colOff>
      <xdr:row>13</xdr:row>
      <xdr:rowOff>219075</xdr:rowOff>
    </xdr:to>
    <xdr:cxnSp macro="">
      <xdr:nvCxnSpPr>
        <xdr:cNvPr id="51" name="Straight Connector 50">
          <a:extLst>
            <a:ext uri="{FF2B5EF4-FFF2-40B4-BE49-F238E27FC236}">
              <a16:creationId xmlns:a16="http://schemas.microsoft.com/office/drawing/2014/main" id="{677A6812-2F90-45A0-852D-7F8AEE053D78}"/>
            </a:ext>
          </a:extLst>
        </xdr:cNvPr>
        <xdr:cNvCxnSpPr/>
      </xdr:nvCxnSpPr>
      <xdr:spPr>
        <a:xfrm>
          <a:off x="1600200" y="10296525"/>
          <a:ext cx="6191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438150</xdr:colOff>
      <xdr:row>2</xdr:row>
      <xdr:rowOff>0</xdr:rowOff>
    </xdr:from>
    <xdr:to>
      <xdr:col>2</xdr:col>
      <xdr:colOff>114300</xdr:colOff>
      <xdr:row>2</xdr:row>
      <xdr:rowOff>0</xdr:rowOff>
    </xdr:to>
    <xdr:cxnSp macro="">
      <xdr:nvCxnSpPr>
        <xdr:cNvPr id="52" name="Straight Connector 51">
          <a:extLst>
            <a:ext uri="{FF2B5EF4-FFF2-40B4-BE49-F238E27FC236}">
              <a16:creationId xmlns:a16="http://schemas.microsoft.com/office/drawing/2014/main" id="{8CC46FF4-F883-4D96-BE2D-0A42D000AE27}"/>
            </a:ext>
          </a:extLst>
        </xdr:cNvPr>
        <xdr:cNvCxnSpPr/>
      </xdr:nvCxnSpPr>
      <xdr:spPr>
        <a:xfrm flipV="1">
          <a:off x="438150" y="7277100"/>
          <a:ext cx="1295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72;&#7889;i%20chi&#7871;u%20SL%20KT%202025\1.THANH%20TO&#193;N%20V&#7888;N%202026%20cu&#7889;i\2.%20XDCT%20Doanh%20tr&#7841;i%20MD-02\1.%20XDCT%20Doanh%20tr&#7841;i%20KTS-23.%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_P4F6M596\Thanh%20to&#225;n%202026\1.%20T&#244;n%20t&#7841;o,%20m&#7903;%20r&#7897;ng%20KTS-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rogram%20Files%20(x86)\VnToolsExcel\VnTools-Excel.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 vốn"/>
      <sheetName val="BC giải ngân"/>
      <sheetName val="BC B5"/>
      <sheetName val="QĐ"/>
      <sheetName val="Tổng hợp"/>
      <sheetName val="Đối chiếu kế toán"/>
      <sheetName val="Th.Chài (NH)"/>
      <sheetName val="SC (NSNN)"/>
      <sheetName val="NY (NSNN)"/>
      <sheetName val="PV (NH)"/>
      <sheetName val="Đá Lớn (NH)"/>
      <sheetName val="TN "/>
      <sheetName val="Đá Nam (NH)"/>
      <sheetName val="TSĐ (NH)"/>
      <sheetName val="ĐLA (NH)"/>
      <sheetName val="STĐ (NH)"/>
      <sheetName val="AB (NH)"/>
      <sheetName val="Thông tri"/>
      <sheetName val="T.T CQTC 2"/>
      <sheetName val="GĐNTT"/>
      <sheetName val="DS nhà thầu"/>
      <sheetName val="T.Tri TQT"/>
      <sheetName val="T.Tri (NH)"/>
      <sheetName val="T.Toán CQTC"/>
      <sheetName val="Teex"/>
      <sheetName val="Sổ ứng tiền"/>
    </sheetNames>
    <sheetDataSet>
      <sheetData sheetId="0" refreshError="1"/>
      <sheetData sheetId="1" refreshError="1"/>
      <sheetData sheetId="2" refreshError="1"/>
      <sheetData sheetId="3" refreshError="1"/>
      <sheetData sheetId="4">
        <row r="32">
          <cell r="U32">
            <v>48785000000</v>
          </cell>
        </row>
      </sheetData>
      <sheetData sheetId="5" refreshError="1"/>
      <sheetData sheetId="6" refreshError="1"/>
      <sheetData sheetId="7"/>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 vốn"/>
      <sheetName val="BC giải ngân"/>
      <sheetName val="BC B5"/>
      <sheetName val="QĐ phê duyệt"/>
      <sheetName val="Tổng hợp"/>
      <sheetName val="Đối chiếu KT"/>
      <sheetName val="Đá Thị"/>
      <sheetName val="Đá Tây"/>
      <sheetName val="Đá Đông"/>
      <sheetName val="Cô Lin"/>
      <sheetName val="Len Đao"/>
      <sheetName val="Thông tri 21"/>
      <sheetName val="Thông tri"/>
      <sheetName val="T.T CQTC 2"/>
      <sheetName val="GĐNTT"/>
      <sheetName val="T.Tri TQT"/>
      <sheetName val="DS Nhà thầu"/>
      <sheetName val="T.Toán CQTC"/>
      <sheetName val="Teex"/>
      <sheetName val="Sổ ứng tiền"/>
    </sheetNames>
    <sheetDataSet>
      <sheetData sheetId="0"/>
      <sheetData sheetId="1"/>
      <sheetData sheetId="2"/>
      <sheetData sheetId="3"/>
      <sheetData sheetId="4">
        <row r="16">
          <cell r="N16">
            <v>630647047258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definedNames>
      <definedName name="VND"/>
    </defined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3"/>
  <sheetViews>
    <sheetView workbookViewId="0">
      <pane xSplit="3" ySplit="7" topLeftCell="D8" activePane="bottomRight" state="frozen"/>
      <selection pane="topRight" activeCell="D1" sqref="D1"/>
      <selection pane="bottomLeft" activeCell="A8" sqref="A8"/>
      <selection pane="bottomRight" activeCell="AK5" sqref="AK5:AM5"/>
    </sheetView>
  </sheetViews>
  <sheetFormatPr defaultRowHeight="15.75" x14ac:dyDescent="0.25"/>
  <cols>
    <col min="1" max="1" width="4.5703125" style="65" customWidth="1"/>
    <col min="2" max="2" width="21.5703125" style="38" customWidth="1"/>
    <col min="3" max="3" width="8" style="65" customWidth="1"/>
    <col min="4" max="6" width="6.7109375" style="38" customWidth="1"/>
    <col min="7" max="9" width="6.7109375" style="13" customWidth="1"/>
    <col min="10" max="12" width="6.28515625" style="38" customWidth="1"/>
    <col min="13" max="15" width="6.28515625" style="13" customWidth="1"/>
    <col min="16" max="18" width="6.28515625" style="38" customWidth="1"/>
    <col min="19" max="19" width="6.28515625" style="13" customWidth="1"/>
    <col min="20" max="20" width="6.28515625" style="147" customWidth="1"/>
    <col min="21" max="21" width="6.28515625" style="13" customWidth="1"/>
    <col min="22" max="24" width="6.28515625" style="38" customWidth="1"/>
    <col min="25" max="27" width="6.28515625" style="13" customWidth="1"/>
    <col min="28" max="30" width="6.28515625" style="38" customWidth="1"/>
    <col min="31" max="33" width="6.28515625" style="13" customWidth="1"/>
    <col min="34" max="36" width="6.28515625" style="38" customWidth="1"/>
    <col min="37" max="39" width="6.28515625" style="13" customWidth="1"/>
    <col min="40" max="40" width="13.5703125" style="38" customWidth="1"/>
    <col min="41" max="16384" width="9.140625" style="38"/>
  </cols>
  <sheetData>
    <row r="1" spans="1:40" ht="18.75" x14ac:dyDescent="0.25">
      <c r="A1" s="196" t="s">
        <v>159</v>
      </c>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row>
    <row r="2" spans="1:40" ht="18.75" x14ac:dyDescent="0.25">
      <c r="A2" s="197" t="s">
        <v>99</v>
      </c>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row>
    <row r="3" spans="1:40" ht="23.25" customHeight="1" x14ac:dyDescent="0.25">
      <c r="A3" s="122" t="s">
        <v>100</v>
      </c>
    </row>
    <row r="4" spans="1:40" ht="20.25" customHeight="1" x14ac:dyDescent="0.25">
      <c r="A4" s="198" t="s">
        <v>3</v>
      </c>
      <c r="B4" s="198" t="s">
        <v>1</v>
      </c>
      <c r="C4" s="198" t="s">
        <v>101</v>
      </c>
      <c r="D4" s="199" t="s">
        <v>102</v>
      </c>
      <c r="E4" s="199"/>
      <c r="F4" s="199"/>
      <c r="G4" s="200" t="s">
        <v>103</v>
      </c>
      <c r="H4" s="200"/>
      <c r="I4" s="200"/>
      <c r="J4" s="201" t="s">
        <v>104</v>
      </c>
      <c r="K4" s="201"/>
      <c r="L4" s="201"/>
      <c r="M4" s="201"/>
      <c r="N4" s="201"/>
      <c r="O4" s="201"/>
      <c r="P4" s="201" t="s">
        <v>105</v>
      </c>
      <c r="Q4" s="201"/>
      <c r="R4" s="201"/>
      <c r="S4" s="201"/>
      <c r="T4" s="201"/>
      <c r="U4" s="201"/>
      <c r="V4" s="201" t="s">
        <v>106</v>
      </c>
      <c r="W4" s="201"/>
      <c r="X4" s="201"/>
      <c r="Y4" s="201"/>
      <c r="Z4" s="201"/>
      <c r="AA4" s="201"/>
      <c r="AB4" s="201" t="s">
        <v>107</v>
      </c>
      <c r="AC4" s="201"/>
      <c r="AD4" s="201"/>
      <c r="AE4" s="201"/>
      <c r="AF4" s="201"/>
      <c r="AG4" s="201"/>
      <c r="AH4" s="201" t="s">
        <v>108</v>
      </c>
      <c r="AI4" s="201"/>
      <c r="AJ4" s="201"/>
      <c r="AK4" s="201"/>
      <c r="AL4" s="201"/>
      <c r="AM4" s="201"/>
      <c r="AN4" s="195" t="s">
        <v>129</v>
      </c>
    </row>
    <row r="5" spans="1:40" s="66" customFormat="1" ht="24" customHeight="1" x14ac:dyDescent="0.25">
      <c r="A5" s="198"/>
      <c r="B5" s="198"/>
      <c r="C5" s="198"/>
      <c r="D5" s="193" t="s">
        <v>109</v>
      </c>
      <c r="E5" s="193" t="s">
        <v>19</v>
      </c>
      <c r="F5" s="193" t="s">
        <v>7</v>
      </c>
      <c r="G5" s="194" t="s">
        <v>109</v>
      </c>
      <c r="H5" s="194" t="s">
        <v>19</v>
      </c>
      <c r="I5" s="194" t="s">
        <v>7</v>
      </c>
      <c r="J5" s="193" t="s">
        <v>110</v>
      </c>
      <c r="K5" s="193"/>
      <c r="L5" s="193"/>
      <c r="M5" s="194" t="s">
        <v>111</v>
      </c>
      <c r="N5" s="194"/>
      <c r="O5" s="194"/>
      <c r="P5" s="193" t="s">
        <v>110</v>
      </c>
      <c r="Q5" s="193"/>
      <c r="R5" s="193"/>
      <c r="S5" s="194" t="s">
        <v>111</v>
      </c>
      <c r="T5" s="194"/>
      <c r="U5" s="194"/>
      <c r="V5" s="193" t="s">
        <v>110</v>
      </c>
      <c r="W5" s="193"/>
      <c r="X5" s="193"/>
      <c r="Y5" s="194" t="s">
        <v>111</v>
      </c>
      <c r="Z5" s="194"/>
      <c r="AA5" s="194"/>
      <c r="AB5" s="193" t="s">
        <v>110</v>
      </c>
      <c r="AC5" s="193"/>
      <c r="AD5" s="193"/>
      <c r="AE5" s="194" t="s">
        <v>111</v>
      </c>
      <c r="AF5" s="194"/>
      <c r="AG5" s="194"/>
      <c r="AH5" s="193" t="s">
        <v>110</v>
      </c>
      <c r="AI5" s="193"/>
      <c r="AJ5" s="193"/>
      <c r="AK5" s="194" t="s">
        <v>111</v>
      </c>
      <c r="AL5" s="194"/>
      <c r="AM5" s="194"/>
      <c r="AN5" s="195"/>
    </row>
    <row r="6" spans="1:40" s="66" customFormat="1" ht="42" x14ac:dyDescent="0.25">
      <c r="A6" s="198"/>
      <c r="B6" s="198"/>
      <c r="C6" s="198"/>
      <c r="D6" s="193"/>
      <c r="E6" s="193"/>
      <c r="F6" s="193"/>
      <c r="G6" s="194"/>
      <c r="H6" s="194"/>
      <c r="I6" s="194"/>
      <c r="J6" s="67" t="s">
        <v>109</v>
      </c>
      <c r="K6" s="67" t="s">
        <v>19</v>
      </c>
      <c r="L6" s="67" t="s">
        <v>7</v>
      </c>
      <c r="M6" s="68" t="s">
        <v>109</v>
      </c>
      <c r="N6" s="68" t="s">
        <v>19</v>
      </c>
      <c r="O6" s="68" t="s">
        <v>7</v>
      </c>
      <c r="P6" s="67" t="s">
        <v>109</v>
      </c>
      <c r="Q6" s="67" t="s">
        <v>19</v>
      </c>
      <c r="R6" s="67" t="s">
        <v>7</v>
      </c>
      <c r="S6" s="68" t="s">
        <v>109</v>
      </c>
      <c r="T6" s="291" t="s">
        <v>19</v>
      </c>
      <c r="U6" s="68" t="s">
        <v>7</v>
      </c>
      <c r="V6" s="67" t="s">
        <v>109</v>
      </c>
      <c r="W6" s="67" t="s">
        <v>19</v>
      </c>
      <c r="X6" s="67" t="s">
        <v>7</v>
      </c>
      <c r="Y6" s="68" t="s">
        <v>109</v>
      </c>
      <c r="Z6" s="68" t="s">
        <v>19</v>
      </c>
      <c r="AA6" s="68" t="s">
        <v>7</v>
      </c>
      <c r="AB6" s="67" t="s">
        <v>109</v>
      </c>
      <c r="AC6" s="67" t="s">
        <v>19</v>
      </c>
      <c r="AD6" s="67" t="s">
        <v>7</v>
      </c>
      <c r="AE6" s="68" t="s">
        <v>109</v>
      </c>
      <c r="AF6" s="68" t="s">
        <v>19</v>
      </c>
      <c r="AG6" s="68" t="s">
        <v>7</v>
      </c>
      <c r="AH6" s="67" t="s">
        <v>109</v>
      </c>
      <c r="AI6" s="67" t="s">
        <v>19</v>
      </c>
      <c r="AJ6" s="67" t="s">
        <v>7</v>
      </c>
      <c r="AK6" s="68" t="s">
        <v>109</v>
      </c>
      <c r="AL6" s="68" t="s">
        <v>19</v>
      </c>
      <c r="AM6" s="68" t="s">
        <v>7</v>
      </c>
      <c r="AN6" s="195"/>
    </row>
    <row r="7" spans="1:40" s="66" customFormat="1" ht="25.5" customHeight="1" x14ac:dyDescent="0.25">
      <c r="A7" s="64"/>
      <c r="B7" s="64" t="s">
        <v>5</v>
      </c>
      <c r="C7" s="64"/>
      <c r="D7" s="289"/>
      <c r="E7" s="289"/>
      <c r="F7" s="290"/>
      <c r="G7" s="291"/>
      <c r="H7" s="291"/>
      <c r="I7" s="292"/>
      <c r="J7" s="289"/>
      <c r="K7" s="289"/>
      <c r="L7" s="290"/>
      <c r="M7" s="291"/>
      <c r="N7" s="291"/>
      <c r="O7" s="292"/>
      <c r="P7" s="289"/>
      <c r="Q7" s="289"/>
      <c r="R7" s="290"/>
      <c r="S7" s="291"/>
      <c r="T7" s="291"/>
      <c r="U7" s="292"/>
      <c r="V7" s="289"/>
      <c r="W7" s="289"/>
      <c r="X7" s="290"/>
      <c r="Y7" s="291"/>
      <c r="Z7" s="291"/>
      <c r="AA7" s="292"/>
      <c r="AB7" s="289"/>
      <c r="AC7" s="289"/>
      <c r="AD7" s="290"/>
      <c r="AE7" s="291"/>
      <c r="AF7" s="291"/>
      <c r="AG7" s="292"/>
      <c r="AH7" s="289"/>
      <c r="AI7" s="289"/>
      <c r="AJ7" s="290"/>
      <c r="AK7" s="291"/>
      <c r="AL7" s="291"/>
      <c r="AM7" s="292"/>
    </row>
    <row r="8" spans="1:40" s="73" customFormat="1" ht="21.95" customHeight="1" x14ac:dyDescent="0.25">
      <c r="A8" s="69" t="s">
        <v>47</v>
      </c>
      <c r="B8" s="70" t="s">
        <v>160</v>
      </c>
      <c r="C8" s="293"/>
      <c r="D8" s="71"/>
      <c r="E8" s="71"/>
      <c r="F8" s="71"/>
      <c r="G8" s="72"/>
      <c r="H8" s="72"/>
      <c r="I8" s="72"/>
      <c r="J8" s="71"/>
      <c r="K8" s="71"/>
      <c r="L8" s="71"/>
      <c r="M8" s="72"/>
      <c r="N8" s="72"/>
      <c r="O8" s="72"/>
      <c r="P8" s="71"/>
      <c r="Q8" s="71"/>
      <c r="R8" s="71"/>
      <c r="S8" s="72"/>
      <c r="T8" s="294"/>
      <c r="U8" s="72"/>
      <c r="V8" s="71"/>
      <c r="W8" s="71"/>
      <c r="X8" s="71"/>
      <c r="Y8" s="72"/>
      <c r="Z8" s="72"/>
      <c r="AA8" s="72"/>
      <c r="AB8" s="71"/>
      <c r="AC8" s="71"/>
      <c r="AD8" s="71"/>
      <c r="AE8" s="72"/>
      <c r="AF8" s="72"/>
      <c r="AG8" s="72"/>
      <c r="AH8" s="71"/>
      <c r="AI8" s="71"/>
      <c r="AJ8" s="71"/>
      <c r="AK8" s="72"/>
      <c r="AL8" s="72"/>
      <c r="AM8" s="72"/>
    </row>
    <row r="9" spans="1:40" s="78" customFormat="1" ht="21.95" customHeight="1" x14ac:dyDescent="0.25">
      <c r="A9" s="74"/>
      <c r="B9" s="75"/>
      <c r="C9" s="74"/>
      <c r="D9" s="76"/>
      <c r="E9" s="76"/>
      <c r="F9" s="76"/>
      <c r="G9" s="77"/>
      <c r="H9" s="77"/>
      <c r="I9" s="77"/>
      <c r="J9" s="76"/>
      <c r="K9" s="76"/>
      <c r="L9" s="76"/>
      <c r="M9" s="77"/>
      <c r="N9" s="77"/>
      <c r="O9" s="77"/>
      <c r="P9" s="76"/>
      <c r="Q9" s="76"/>
      <c r="R9" s="76"/>
      <c r="S9" s="77"/>
      <c r="T9" s="295"/>
      <c r="U9" s="77"/>
      <c r="V9" s="76"/>
      <c r="W9" s="76"/>
      <c r="X9" s="76"/>
      <c r="Y9" s="77"/>
      <c r="Z9" s="77"/>
      <c r="AA9" s="77"/>
      <c r="AB9" s="76"/>
      <c r="AC9" s="76"/>
      <c r="AD9" s="76"/>
      <c r="AE9" s="77"/>
      <c r="AF9" s="77"/>
      <c r="AG9" s="77"/>
      <c r="AH9" s="76"/>
      <c r="AI9" s="76"/>
      <c r="AJ9" s="76"/>
      <c r="AK9" s="77"/>
      <c r="AL9" s="77"/>
      <c r="AM9" s="77"/>
    </row>
    <row r="10" spans="1:40" s="78" customFormat="1" ht="21.95" customHeight="1" x14ac:dyDescent="0.25">
      <c r="A10" s="74"/>
      <c r="B10" s="75"/>
      <c r="C10" s="74"/>
      <c r="D10" s="76"/>
      <c r="E10" s="76"/>
      <c r="F10" s="76"/>
      <c r="G10" s="77"/>
      <c r="H10" s="77"/>
      <c r="I10" s="77"/>
      <c r="J10" s="76"/>
      <c r="K10" s="76"/>
      <c r="L10" s="76"/>
      <c r="M10" s="77"/>
      <c r="N10" s="77"/>
      <c r="O10" s="77"/>
      <c r="P10" s="76"/>
      <c r="Q10" s="76"/>
      <c r="R10" s="76"/>
      <c r="S10" s="77"/>
      <c r="T10" s="295"/>
      <c r="U10" s="77"/>
      <c r="V10" s="76"/>
      <c r="W10" s="76"/>
      <c r="X10" s="76"/>
      <c r="Y10" s="77"/>
      <c r="Z10" s="77"/>
      <c r="AA10" s="77"/>
      <c r="AB10" s="76"/>
      <c r="AC10" s="76"/>
      <c r="AD10" s="76"/>
      <c r="AE10" s="77"/>
      <c r="AF10" s="77"/>
      <c r="AG10" s="77"/>
      <c r="AH10" s="76"/>
      <c r="AI10" s="76"/>
      <c r="AJ10" s="76"/>
      <c r="AK10" s="77"/>
      <c r="AL10" s="77"/>
      <c r="AM10" s="77"/>
    </row>
    <row r="11" spans="1:40" s="78" customFormat="1" ht="21.95" customHeight="1" x14ac:dyDescent="0.25">
      <c r="A11" s="74"/>
      <c r="B11" s="75"/>
      <c r="C11" s="74"/>
      <c r="D11" s="76"/>
      <c r="E11" s="76"/>
      <c r="F11" s="76"/>
      <c r="G11" s="77"/>
      <c r="H11" s="77"/>
      <c r="I11" s="77"/>
      <c r="J11" s="76"/>
      <c r="K11" s="76"/>
      <c r="L11" s="76"/>
      <c r="M11" s="77"/>
      <c r="N11" s="77"/>
      <c r="O11" s="77"/>
      <c r="P11" s="76"/>
      <c r="Q11" s="76"/>
      <c r="R11" s="76"/>
      <c r="S11" s="77"/>
      <c r="T11" s="295"/>
      <c r="U11" s="77"/>
      <c r="V11" s="76"/>
      <c r="W11" s="76"/>
      <c r="X11" s="76"/>
      <c r="Y11" s="77"/>
      <c r="Z11" s="77"/>
      <c r="AA11" s="77"/>
      <c r="AB11" s="76"/>
      <c r="AC11" s="76"/>
      <c r="AD11" s="76"/>
      <c r="AE11" s="77"/>
      <c r="AF11" s="77"/>
      <c r="AG11" s="77"/>
      <c r="AH11" s="76"/>
      <c r="AI11" s="76"/>
      <c r="AJ11" s="76"/>
      <c r="AK11" s="77"/>
      <c r="AL11" s="77"/>
      <c r="AM11" s="77"/>
    </row>
    <row r="12" spans="1:40" s="78" customFormat="1" ht="21.95" customHeight="1" x14ac:dyDescent="0.25">
      <c r="A12" s="74"/>
      <c r="B12" s="75"/>
      <c r="C12" s="74"/>
      <c r="D12" s="76"/>
      <c r="E12" s="76"/>
      <c r="F12" s="76"/>
      <c r="G12" s="77"/>
      <c r="H12" s="77"/>
      <c r="I12" s="77"/>
      <c r="J12" s="76"/>
      <c r="K12" s="76"/>
      <c r="L12" s="76"/>
      <c r="M12" s="77"/>
      <c r="N12" s="77"/>
      <c r="O12" s="77"/>
      <c r="P12" s="76"/>
      <c r="Q12" s="76"/>
      <c r="R12" s="76"/>
      <c r="S12" s="77"/>
      <c r="T12" s="295"/>
      <c r="U12" s="77"/>
      <c r="V12" s="76"/>
      <c r="W12" s="76"/>
      <c r="X12" s="76"/>
      <c r="Y12" s="77"/>
      <c r="Z12" s="77"/>
      <c r="AA12" s="77"/>
      <c r="AB12" s="76"/>
      <c r="AC12" s="76"/>
      <c r="AD12" s="76"/>
      <c r="AE12" s="77"/>
      <c r="AF12" s="77"/>
      <c r="AG12" s="77"/>
      <c r="AH12" s="76"/>
      <c r="AI12" s="76"/>
      <c r="AJ12" s="76"/>
      <c r="AK12" s="77"/>
      <c r="AL12" s="77"/>
      <c r="AM12" s="77"/>
    </row>
    <row r="13" spans="1:40" x14ac:dyDescent="0.25">
      <c r="A13" s="79"/>
      <c r="B13" s="37"/>
      <c r="C13" s="79"/>
      <c r="D13" s="80"/>
      <c r="E13" s="80"/>
      <c r="F13" s="80"/>
      <c r="G13" s="81"/>
      <c r="H13" s="81"/>
      <c r="I13" s="81"/>
      <c r="J13" s="80"/>
      <c r="K13" s="80"/>
      <c r="L13" s="80"/>
      <c r="M13" s="81"/>
      <c r="N13" s="81"/>
      <c r="O13" s="81"/>
      <c r="P13" s="80"/>
      <c r="Q13" s="80"/>
      <c r="R13" s="80"/>
      <c r="S13" s="81"/>
      <c r="T13" s="296"/>
      <c r="U13" s="81"/>
      <c r="V13" s="80"/>
      <c r="W13" s="80"/>
      <c r="X13" s="80"/>
      <c r="Y13" s="81"/>
      <c r="Z13" s="81"/>
      <c r="AA13" s="81"/>
      <c r="AB13" s="80"/>
      <c r="AC13" s="80"/>
      <c r="AD13" s="80"/>
      <c r="AE13" s="81"/>
      <c r="AF13" s="81"/>
      <c r="AG13" s="81"/>
      <c r="AH13" s="80"/>
      <c r="AI13" s="80"/>
      <c r="AJ13" s="80"/>
      <c r="AK13" s="81"/>
      <c r="AL13" s="81"/>
      <c r="AM13" s="81"/>
    </row>
  </sheetData>
  <mergeCells count="29">
    <mergeCell ref="AN4:AN6"/>
    <mergeCell ref="A1:AM1"/>
    <mergeCell ref="A2:AM2"/>
    <mergeCell ref="A4:A6"/>
    <mergeCell ref="B4:B6"/>
    <mergeCell ref="C4:C6"/>
    <mergeCell ref="D4:F4"/>
    <mergeCell ref="G4:I4"/>
    <mergeCell ref="J4:O4"/>
    <mergeCell ref="P4:U4"/>
    <mergeCell ref="V4:AA4"/>
    <mergeCell ref="AB4:AG4"/>
    <mergeCell ref="AH4:AM4"/>
    <mergeCell ref="D5:D6"/>
    <mergeCell ref="E5:E6"/>
    <mergeCell ref="F5:F6"/>
    <mergeCell ref="G5:G6"/>
    <mergeCell ref="H5:H6"/>
    <mergeCell ref="I5:I6"/>
    <mergeCell ref="J5:L5"/>
    <mergeCell ref="M5:O5"/>
    <mergeCell ref="AH5:AJ5"/>
    <mergeCell ref="AK5:AM5"/>
    <mergeCell ref="P5:R5"/>
    <mergeCell ref="S5:U5"/>
    <mergeCell ref="V5:X5"/>
    <mergeCell ref="Y5:AA5"/>
    <mergeCell ref="AB5:AD5"/>
    <mergeCell ref="AE5:AG5"/>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workbookViewId="0">
      <selection activeCell="L7" sqref="L7:L8"/>
    </sheetView>
  </sheetViews>
  <sheetFormatPr defaultRowHeight="18.75" x14ac:dyDescent="0.25"/>
  <cols>
    <col min="1" max="1" width="4.42578125" style="1" customWidth="1"/>
    <col min="2" max="2" width="26.28515625" style="2" customWidth="1"/>
    <col min="3" max="3" width="19.85546875" style="2" customWidth="1"/>
    <col min="4" max="4" width="10.140625" style="1" customWidth="1"/>
    <col min="5" max="5" width="9" style="1" customWidth="1"/>
    <col min="6" max="6" width="9.42578125" style="1" customWidth="1"/>
    <col min="7" max="7" width="9" style="1" customWidth="1"/>
    <col min="8" max="9" width="8.7109375" style="1" customWidth="1"/>
    <col min="10" max="10" width="20.28515625" style="1" customWidth="1"/>
    <col min="11" max="11" width="19.85546875" style="1" customWidth="1"/>
    <col min="12" max="12" width="31.28515625" style="1" customWidth="1"/>
    <col min="13" max="16384" width="9.140625" style="1"/>
  </cols>
  <sheetData>
    <row r="1" spans="1:12" x14ac:dyDescent="0.25">
      <c r="A1" s="212" t="s">
        <v>8</v>
      </c>
      <c r="B1" s="212"/>
      <c r="C1" s="212"/>
      <c r="D1" s="212"/>
      <c r="E1" s="212"/>
      <c r="F1" s="212"/>
      <c r="G1" s="212"/>
      <c r="H1" s="212"/>
      <c r="I1" s="212"/>
      <c r="J1" s="212"/>
      <c r="K1" s="212"/>
    </row>
    <row r="2" spans="1:12" ht="8.25" customHeight="1" x14ac:dyDescent="0.25"/>
    <row r="3" spans="1:12" ht="43.5" customHeight="1" x14ac:dyDescent="0.25">
      <c r="A3" s="20" t="s">
        <v>3</v>
      </c>
      <c r="B3" s="20" t="s">
        <v>4</v>
      </c>
      <c r="C3" s="20" t="s">
        <v>55</v>
      </c>
      <c r="D3" s="20" t="s">
        <v>6</v>
      </c>
      <c r="E3" s="20" t="s">
        <v>9</v>
      </c>
      <c r="F3" s="20" t="s">
        <v>10</v>
      </c>
      <c r="G3" s="20" t="s">
        <v>11</v>
      </c>
      <c r="H3" s="20" t="s">
        <v>12</v>
      </c>
      <c r="I3" s="20" t="s">
        <v>13</v>
      </c>
      <c r="J3" s="20" t="s">
        <v>44</v>
      </c>
      <c r="K3" s="20" t="s">
        <v>54</v>
      </c>
    </row>
    <row r="4" spans="1:12" ht="25.5" customHeight="1" x14ac:dyDescent="0.25">
      <c r="A4" s="310"/>
      <c r="B4" s="310"/>
      <c r="C4" s="310"/>
      <c r="D4" s="21"/>
      <c r="E4" s="21"/>
      <c r="F4" s="21"/>
      <c r="G4" s="21"/>
      <c r="H4" s="21"/>
      <c r="I4" s="21"/>
      <c r="J4" s="22"/>
      <c r="K4" s="23"/>
    </row>
    <row r="5" spans="1:12" ht="21.95" customHeight="1" x14ac:dyDescent="0.25">
      <c r="A5" s="24">
        <v>1</v>
      </c>
      <c r="B5" s="25" t="s">
        <v>161</v>
      </c>
      <c r="C5" s="24"/>
      <c r="D5" s="18"/>
      <c r="E5" s="18"/>
      <c r="F5" s="18"/>
      <c r="G5" s="18"/>
      <c r="H5" s="18"/>
      <c r="I5" s="18"/>
      <c r="J5" s="149"/>
      <c r="K5" s="149"/>
    </row>
    <row r="6" spans="1:12" ht="21.95" customHeight="1" x14ac:dyDescent="0.25">
      <c r="A6" s="24">
        <v>2</v>
      </c>
      <c r="B6" s="25" t="s">
        <v>162</v>
      </c>
      <c r="C6" s="24"/>
      <c r="D6" s="18"/>
      <c r="E6" s="18"/>
      <c r="F6" s="18"/>
      <c r="G6" s="18"/>
      <c r="H6" s="18"/>
      <c r="I6" s="18"/>
      <c r="J6" s="181"/>
      <c r="K6" s="149"/>
    </row>
    <row r="7" spans="1:12" s="43" customFormat="1" ht="21.95" customHeight="1" x14ac:dyDescent="0.25">
      <c r="A7" s="39"/>
      <c r="B7" s="40"/>
      <c r="C7" s="41"/>
      <c r="D7" s="36"/>
      <c r="E7" s="42"/>
      <c r="F7" s="42"/>
      <c r="G7" s="42"/>
      <c r="H7" s="42"/>
      <c r="I7" s="42"/>
      <c r="J7" s="297"/>
      <c r="K7" s="298"/>
      <c r="L7" s="44" t="s">
        <v>76</v>
      </c>
    </row>
    <row r="8" spans="1:12" s="43" customFormat="1" ht="21.95" customHeight="1" x14ac:dyDescent="0.25">
      <c r="A8" s="39"/>
      <c r="B8" s="40"/>
      <c r="C8" s="41"/>
      <c r="D8" s="36"/>
      <c r="E8" s="42"/>
      <c r="F8" s="42"/>
      <c r="G8" s="42"/>
      <c r="H8" s="42"/>
      <c r="I8" s="42"/>
      <c r="J8" s="297"/>
      <c r="K8" s="298"/>
      <c r="L8" s="44" t="s">
        <v>76</v>
      </c>
    </row>
    <row r="9" spans="1:12" ht="21.95" customHeight="1" x14ac:dyDescent="0.25">
      <c r="A9" s="24"/>
      <c r="B9" s="26"/>
      <c r="C9" s="27"/>
      <c r="D9" s="179"/>
      <c r="E9" s="28"/>
      <c r="F9" s="28"/>
      <c r="G9" s="28"/>
      <c r="H9" s="28"/>
      <c r="I9" s="28"/>
      <c r="J9" s="181"/>
      <c r="K9" s="149"/>
    </row>
    <row r="10" spans="1:12" ht="21.95" customHeight="1" x14ac:dyDescent="0.25">
      <c r="A10" s="24"/>
      <c r="B10" s="26"/>
      <c r="C10" s="27"/>
      <c r="D10" s="18"/>
      <c r="E10" s="18"/>
      <c r="F10" s="18"/>
      <c r="G10" s="18"/>
      <c r="H10" s="18"/>
      <c r="I10" s="18"/>
      <c r="J10" s="181"/>
      <c r="K10" s="149"/>
    </row>
    <row r="11" spans="1:12" ht="21.95" customHeight="1" x14ac:dyDescent="0.25">
      <c r="A11" s="24"/>
      <c r="B11" s="29"/>
      <c r="C11" s="27"/>
      <c r="D11" s="18"/>
      <c r="E11" s="18"/>
      <c r="F11" s="18"/>
      <c r="G11" s="18"/>
      <c r="H11" s="18"/>
      <c r="I11" s="18"/>
      <c r="J11" s="181"/>
      <c r="K11" s="149"/>
    </row>
    <row r="12" spans="1:12" ht="21.95" customHeight="1" x14ac:dyDescent="0.25">
      <c r="A12" s="24"/>
      <c r="B12" s="29"/>
      <c r="C12" s="30"/>
      <c r="D12" s="19"/>
      <c r="E12" s="309"/>
      <c r="F12" s="309"/>
      <c r="G12" s="309"/>
      <c r="H12" s="309"/>
      <c r="I12" s="309"/>
      <c r="J12" s="181"/>
      <c r="K12" s="149"/>
    </row>
    <row r="13" spans="1:12" ht="21.95" customHeight="1" x14ac:dyDescent="0.25">
      <c r="A13" s="24"/>
      <c r="B13" s="29"/>
      <c r="C13" s="30"/>
      <c r="D13" s="19"/>
      <c r="E13" s="309"/>
      <c r="F13" s="309"/>
      <c r="G13" s="309"/>
      <c r="H13" s="309"/>
      <c r="I13" s="309"/>
      <c r="J13" s="181"/>
      <c r="K13" s="149"/>
    </row>
    <row r="14" spans="1:12" ht="21.95" customHeight="1" x14ac:dyDescent="0.25">
      <c r="A14" s="24"/>
      <c r="B14" s="29"/>
      <c r="C14" s="30"/>
      <c r="D14" s="19"/>
      <c r="E14" s="309"/>
      <c r="F14" s="309"/>
      <c r="G14" s="309"/>
      <c r="H14" s="309"/>
      <c r="I14" s="309"/>
      <c r="J14" s="181"/>
      <c r="K14" s="149"/>
    </row>
    <row r="15" spans="1:12" ht="21.95" customHeight="1" x14ac:dyDescent="0.25">
      <c r="A15" s="24"/>
      <c r="B15" s="29"/>
      <c r="C15" s="30"/>
      <c r="D15" s="19"/>
      <c r="E15" s="309"/>
      <c r="F15" s="309"/>
      <c r="G15" s="309"/>
      <c r="H15" s="309"/>
      <c r="I15" s="309"/>
      <c r="J15" s="181"/>
      <c r="K15" s="149"/>
    </row>
    <row r="16" spans="1:12" ht="21.95" customHeight="1" x14ac:dyDescent="0.25">
      <c r="A16" s="24"/>
      <c r="B16" s="29"/>
      <c r="C16" s="30"/>
      <c r="D16" s="178"/>
      <c r="E16" s="177"/>
      <c r="F16" s="177"/>
      <c r="G16" s="177"/>
      <c r="H16" s="177"/>
      <c r="I16" s="177"/>
      <c r="J16" s="181"/>
      <c r="K16" s="149"/>
    </row>
    <row r="17" spans="1:11" ht="21.95" customHeight="1" x14ac:dyDescent="0.25">
      <c r="A17" s="24"/>
      <c r="B17" s="29"/>
      <c r="C17" s="27"/>
      <c r="D17" s="178"/>
      <c r="E17" s="177"/>
      <c r="F17" s="177"/>
      <c r="G17" s="177"/>
      <c r="H17" s="177"/>
      <c r="I17" s="177"/>
      <c r="J17" s="181"/>
      <c r="K17" s="149"/>
    </row>
    <row r="18" spans="1:11" ht="21.95" customHeight="1" x14ac:dyDescent="0.25">
      <c r="A18" s="24"/>
      <c r="B18" s="29"/>
      <c r="C18" s="29"/>
      <c r="D18" s="178"/>
      <c r="E18" s="177"/>
      <c r="F18" s="177"/>
      <c r="G18" s="177"/>
      <c r="H18" s="177"/>
      <c r="I18" s="177"/>
      <c r="J18" s="181"/>
      <c r="K18" s="149"/>
    </row>
    <row r="19" spans="1:11" ht="21.95" customHeight="1" x14ac:dyDescent="0.25">
      <c r="A19" s="24"/>
      <c r="B19" s="29"/>
      <c r="C19" s="29"/>
      <c r="D19" s="178"/>
      <c r="E19" s="177"/>
      <c r="F19" s="177"/>
      <c r="G19" s="177"/>
      <c r="H19" s="177"/>
      <c r="I19" s="177"/>
      <c r="J19" s="181"/>
      <c r="K19" s="149"/>
    </row>
    <row r="20" spans="1:11" ht="18.75" customHeight="1" x14ac:dyDescent="0.25">
      <c r="A20" s="24"/>
      <c r="B20" s="203" t="s">
        <v>60</v>
      </c>
      <c r="C20" s="204"/>
      <c r="D20" s="204"/>
      <c r="E20" s="204"/>
      <c r="F20" s="204"/>
      <c r="G20" s="204"/>
      <c r="H20" s="204"/>
      <c r="I20" s="204"/>
      <c r="J20" s="148">
        <f>SUM(J5:J19)</f>
        <v>0</v>
      </c>
      <c r="K20" s="148">
        <f>SUM(K5:K19)</f>
        <v>0</v>
      </c>
    </row>
    <row r="21" spans="1:11" ht="20.100000000000001" customHeight="1" x14ac:dyDescent="0.25">
      <c r="A21" s="32"/>
      <c r="B21" s="206"/>
      <c r="C21" s="206"/>
      <c r="D21" s="206"/>
      <c r="E21" s="206"/>
      <c r="F21" s="206"/>
      <c r="G21" s="207"/>
      <c r="H21" s="213" t="s">
        <v>58</v>
      </c>
      <c r="I21" s="303"/>
      <c r="J21" s="299"/>
      <c r="K21" s="148"/>
    </row>
    <row r="22" spans="1:11" ht="20.100000000000001" customHeight="1" x14ac:dyDescent="0.25">
      <c r="A22" s="32"/>
      <c r="B22" s="208"/>
      <c r="C22" s="208"/>
      <c r="D22" s="208"/>
      <c r="E22" s="208"/>
      <c r="F22" s="208"/>
      <c r="G22" s="209"/>
      <c r="H22" s="214" t="s">
        <v>59</v>
      </c>
      <c r="I22" s="304"/>
      <c r="J22" s="300"/>
      <c r="K22" s="301"/>
    </row>
    <row r="23" spans="1:11" ht="20.100000000000001" customHeight="1" x14ac:dyDescent="0.25">
      <c r="A23" s="31"/>
      <c r="B23" s="210"/>
      <c r="C23" s="210"/>
      <c r="D23" s="210"/>
      <c r="E23" s="210"/>
      <c r="F23" s="210"/>
      <c r="G23" s="211"/>
      <c r="H23" s="205" t="s">
        <v>61</v>
      </c>
      <c r="I23" s="305"/>
      <c r="J23" s="302"/>
      <c r="K23" s="162"/>
    </row>
    <row r="24" spans="1:11" ht="20.100000000000001" customHeight="1" x14ac:dyDescent="0.25">
      <c r="B24" s="210"/>
      <c r="C24" s="210"/>
      <c r="D24" s="210"/>
      <c r="E24" s="210"/>
      <c r="F24" s="210"/>
      <c r="G24" s="211"/>
      <c r="H24" s="33" t="s">
        <v>62</v>
      </c>
      <c r="I24" s="35"/>
      <c r="J24" s="307"/>
      <c r="K24" s="162"/>
    </row>
    <row r="25" spans="1:11" ht="20.100000000000001" customHeight="1" x14ac:dyDescent="0.25">
      <c r="H25" s="202" t="s">
        <v>56</v>
      </c>
      <c r="I25" s="306"/>
      <c r="J25" s="180"/>
      <c r="K25" s="34"/>
    </row>
    <row r="26" spans="1:11" x14ac:dyDescent="0.25">
      <c r="H26" s="202" t="s">
        <v>57</v>
      </c>
      <c r="I26" s="306"/>
      <c r="J26" s="308"/>
      <c r="K26" s="34"/>
    </row>
    <row r="28" spans="1:11" s="96" customFormat="1" ht="15.75" x14ac:dyDescent="0.25">
      <c r="B28" s="97"/>
      <c r="C28" s="98"/>
    </row>
  </sheetData>
  <mergeCells count="11">
    <mergeCell ref="B24:G24"/>
    <mergeCell ref="H21:I21"/>
    <mergeCell ref="H22:I22"/>
    <mergeCell ref="A1:K1"/>
    <mergeCell ref="H26:I26"/>
    <mergeCell ref="B20:I20"/>
    <mergeCell ref="H23:I23"/>
    <mergeCell ref="H25:I25"/>
    <mergeCell ref="B21:G21"/>
    <mergeCell ref="B22:G22"/>
    <mergeCell ref="B23:G23"/>
  </mergeCells>
  <phoneticPr fontId="6" type="noConversion"/>
  <printOptions horizontalCentered="1"/>
  <pageMargins left="0.6" right="0.23" top="0.39" bottom="0.33"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zoomScale="130" zoomScaleNormal="130" workbookViewId="0">
      <selection activeCell="C6" sqref="C6"/>
    </sheetView>
  </sheetViews>
  <sheetFormatPr defaultColWidth="9" defaultRowHeight="15" x14ac:dyDescent="0.25"/>
  <cols>
    <col min="1" max="1" width="4" style="99" customWidth="1"/>
    <col min="2" max="2" width="12.140625" style="99" customWidth="1"/>
    <col min="3" max="3" width="10.7109375" style="113" customWidth="1"/>
    <col min="4" max="4" width="12.140625" style="113" customWidth="1"/>
    <col min="5" max="6" width="10.28515625" style="113" customWidth="1"/>
    <col min="7" max="7" width="10.7109375" style="113" customWidth="1"/>
    <col min="8" max="8" width="11.140625" style="113" customWidth="1"/>
    <col min="9" max="9" width="12.5703125" style="99" customWidth="1"/>
    <col min="10" max="10" width="12" style="99" customWidth="1"/>
    <col min="11" max="11" width="11.28515625" style="99" customWidth="1"/>
    <col min="12" max="12" width="6.140625" style="99" customWidth="1"/>
    <col min="13" max="16384" width="9" style="99"/>
  </cols>
  <sheetData>
    <row r="1" spans="1:12" ht="16.5" x14ac:dyDescent="0.25">
      <c r="A1" s="216" t="s">
        <v>168</v>
      </c>
      <c r="B1" s="216"/>
      <c r="C1" s="216"/>
      <c r="D1" s="216"/>
      <c r="E1" s="216"/>
      <c r="F1" s="216"/>
      <c r="G1" s="216"/>
      <c r="H1" s="216"/>
      <c r="I1" s="216"/>
      <c r="J1" s="216"/>
      <c r="K1" s="216"/>
      <c r="L1" s="216"/>
    </row>
    <row r="2" spans="1:12" x14ac:dyDescent="0.25">
      <c r="A2" s="215" t="s">
        <v>98</v>
      </c>
      <c r="B2" s="215"/>
      <c r="C2" s="215"/>
      <c r="D2" s="215"/>
      <c r="E2" s="215"/>
      <c r="F2" s="215"/>
      <c r="G2" s="215"/>
      <c r="H2" s="215"/>
      <c r="I2" s="215"/>
    </row>
    <row r="3" spans="1:12" ht="0.75" customHeight="1" x14ac:dyDescent="0.25">
      <c r="A3" s="107"/>
      <c r="B3" s="107"/>
      <c r="C3" s="112"/>
      <c r="D3" s="112"/>
      <c r="E3" s="112"/>
      <c r="F3" s="112"/>
      <c r="G3" s="112"/>
      <c r="H3" s="112"/>
      <c r="I3" s="108"/>
    </row>
    <row r="4" spans="1:12" ht="15" customHeight="1" x14ac:dyDescent="0.25">
      <c r="A4" s="199" t="s">
        <v>52</v>
      </c>
      <c r="B4" s="199" t="s">
        <v>130</v>
      </c>
      <c r="C4" s="217" t="s">
        <v>131</v>
      </c>
      <c r="D4" s="221" t="s">
        <v>132</v>
      </c>
      <c r="E4" s="221"/>
      <c r="F4" s="221"/>
      <c r="G4" s="221"/>
      <c r="H4" s="221"/>
      <c r="I4" s="219" t="s">
        <v>16</v>
      </c>
      <c r="J4" s="221" t="s">
        <v>135</v>
      </c>
      <c r="K4" s="221"/>
      <c r="L4" s="219" t="s">
        <v>136</v>
      </c>
    </row>
    <row r="5" spans="1:12" ht="25.5" customHeight="1" x14ac:dyDescent="0.25">
      <c r="A5" s="199"/>
      <c r="B5" s="199"/>
      <c r="C5" s="218"/>
      <c r="D5" s="175" t="s">
        <v>17</v>
      </c>
      <c r="E5" s="175" t="s">
        <v>133</v>
      </c>
      <c r="F5" s="175" t="s">
        <v>134</v>
      </c>
      <c r="G5" s="175" t="s">
        <v>97</v>
      </c>
      <c r="H5" s="175" t="s">
        <v>18</v>
      </c>
      <c r="I5" s="220"/>
      <c r="J5" s="176" t="s">
        <v>19</v>
      </c>
      <c r="K5" s="176" t="s">
        <v>109</v>
      </c>
      <c r="L5" s="220"/>
    </row>
    <row r="6" spans="1:12" ht="30" customHeight="1" x14ac:dyDescent="0.25">
      <c r="A6" s="114">
        <v>1</v>
      </c>
      <c r="B6" s="117" t="s">
        <v>163</v>
      </c>
      <c r="C6" s="114"/>
      <c r="D6" s="119"/>
      <c r="E6" s="119"/>
      <c r="F6" s="119"/>
      <c r="G6" s="119"/>
      <c r="H6" s="119"/>
      <c r="I6" s="116"/>
      <c r="J6" s="116"/>
      <c r="K6" s="116"/>
      <c r="L6" s="120"/>
    </row>
    <row r="7" spans="1:12" s="109" customFormat="1" ht="30" customHeight="1" x14ac:dyDescent="0.25">
      <c r="A7" s="114"/>
      <c r="B7" s="118" t="s">
        <v>164</v>
      </c>
      <c r="C7" s="114"/>
      <c r="D7" s="119"/>
      <c r="E7" s="119"/>
      <c r="F7" s="119"/>
      <c r="G7" s="119"/>
      <c r="H7" s="119"/>
      <c r="I7" s="116"/>
      <c r="J7" s="116"/>
      <c r="K7" s="116"/>
      <c r="L7" s="120"/>
    </row>
    <row r="8" spans="1:12" s="109" customFormat="1" ht="30" customHeight="1" x14ac:dyDescent="0.25">
      <c r="A8" s="114"/>
      <c r="B8" s="118" t="s">
        <v>165</v>
      </c>
      <c r="C8" s="114"/>
      <c r="D8" s="119"/>
      <c r="E8" s="119"/>
      <c r="F8" s="119"/>
      <c r="G8" s="119"/>
      <c r="H8" s="119"/>
      <c r="I8" s="116"/>
      <c r="J8" s="116"/>
      <c r="K8" s="116"/>
      <c r="L8" s="120"/>
    </row>
    <row r="9" spans="1:12" s="109" customFormat="1" ht="30" customHeight="1" x14ac:dyDescent="0.25">
      <c r="A9" s="114"/>
      <c r="B9" s="115" t="s">
        <v>166</v>
      </c>
      <c r="C9" s="114"/>
      <c r="D9" s="119"/>
      <c r="E9" s="119"/>
      <c r="F9" s="119"/>
      <c r="G9" s="119"/>
      <c r="H9" s="119"/>
      <c r="I9" s="116"/>
      <c r="J9" s="116"/>
      <c r="K9" s="116"/>
      <c r="L9" s="120"/>
    </row>
    <row r="10" spans="1:12" s="109" customFormat="1" ht="30" customHeight="1" x14ac:dyDescent="0.25">
      <c r="A10" s="114"/>
      <c r="B10" s="118" t="s">
        <v>167</v>
      </c>
      <c r="C10" s="114"/>
      <c r="D10" s="119"/>
      <c r="E10" s="119"/>
      <c r="F10" s="119"/>
      <c r="G10" s="119"/>
      <c r="H10" s="119"/>
      <c r="I10" s="116"/>
      <c r="J10" s="116"/>
      <c r="K10" s="116"/>
      <c r="L10" s="120"/>
    </row>
    <row r="11" spans="1:12" s="109" customFormat="1" ht="30" customHeight="1" x14ac:dyDescent="0.25">
      <c r="A11" s="114"/>
      <c r="B11" s="118"/>
      <c r="C11" s="114"/>
      <c r="D11" s="119"/>
      <c r="E11" s="119"/>
      <c r="F11" s="119"/>
      <c r="G11" s="119"/>
      <c r="H11" s="119"/>
      <c r="I11" s="116"/>
      <c r="J11" s="116"/>
      <c r="K11" s="116"/>
      <c r="L11" s="120"/>
    </row>
    <row r="12" spans="1:12" s="109" customFormat="1" ht="30" customHeight="1" x14ac:dyDescent="0.25">
      <c r="A12" s="114"/>
      <c r="B12" s="115"/>
      <c r="C12" s="114"/>
      <c r="D12" s="119"/>
      <c r="E12" s="119"/>
      <c r="F12" s="119"/>
      <c r="G12" s="119"/>
      <c r="H12" s="119"/>
      <c r="I12" s="116"/>
      <c r="J12" s="116"/>
      <c r="K12" s="116"/>
      <c r="L12" s="120"/>
    </row>
    <row r="13" spans="1:12" s="109" customFormat="1" ht="30" customHeight="1" x14ac:dyDescent="0.25">
      <c r="A13" s="114"/>
      <c r="B13" s="115"/>
      <c r="C13" s="114"/>
      <c r="D13" s="119"/>
      <c r="E13" s="119"/>
      <c r="F13" s="119"/>
      <c r="G13" s="119"/>
      <c r="H13" s="119"/>
      <c r="I13" s="116"/>
      <c r="J13" s="116"/>
      <c r="K13" s="116"/>
      <c r="L13" s="120"/>
    </row>
    <row r="14" spans="1:12" s="109" customFormat="1" ht="30" customHeight="1" x14ac:dyDescent="0.25">
      <c r="A14" s="114"/>
      <c r="B14" s="115"/>
      <c r="C14" s="114"/>
      <c r="D14" s="119"/>
      <c r="E14" s="119"/>
      <c r="F14" s="119"/>
      <c r="G14" s="119"/>
      <c r="H14" s="119"/>
      <c r="I14" s="116"/>
      <c r="J14" s="116"/>
      <c r="K14" s="116"/>
      <c r="L14" s="120"/>
    </row>
    <row r="15" spans="1:12" s="109" customFormat="1" ht="30" customHeight="1" x14ac:dyDescent="0.2">
      <c r="A15" s="110"/>
      <c r="B15" s="106" t="s">
        <v>7</v>
      </c>
      <c r="C15" s="106"/>
      <c r="D15" s="111">
        <f t="shared" ref="D15:K15" si="0">SUM(D6:D14)</f>
        <v>0</v>
      </c>
      <c r="E15" s="111">
        <f t="shared" si="0"/>
        <v>0</v>
      </c>
      <c r="F15" s="111">
        <f t="shared" si="0"/>
        <v>0</v>
      </c>
      <c r="G15" s="111">
        <f t="shared" si="0"/>
        <v>0</v>
      </c>
      <c r="H15" s="111">
        <f t="shared" si="0"/>
        <v>0</v>
      </c>
      <c r="I15" s="111">
        <f t="shared" si="0"/>
        <v>0</v>
      </c>
      <c r="J15" s="111">
        <f t="shared" si="0"/>
        <v>0</v>
      </c>
      <c r="K15" s="111">
        <f t="shared" si="0"/>
        <v>0</v>
      </c>
      <c r="L15" s="120"/>
    </row>
  </sheetData>
  <mergeCells count="9">
    <mergeCell ref="A2:I2"/>
    <mergeCell ref="A4:A5"/>
    <mergeCell ref="B4:B5"/>
    <mergeCell ref="A1:L1"/>
    <mergeCell ref="C4:C5"/>
    <mergeCell ref="I4:I5"/>
    <mergeCell ref="D4:H4"/>
    <mergeCell ref="J4:K4"/>
    <mergeCell ref="L4:L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0"/>
  <sheetViews>
    <sheetView zoomScaleNormal="100" workbookViewId="0">
      <selection activeCell="B8" sqref="B8"/>
    </sheetView>
  </sheetViews>
  <sheetFormatPr defaultRowHeight="12" x14ac:dyDescent="0.2"/>
  <cols>
    <col min="1" max="1" width="6.42578125" style="409" customWidth="1"/>
    <col min="2" max="2" width="14.7109375" style="352" customWidth="1"/>
    <col min="3" max="3" width="13.5703125" style="409" customWidth="1"/>
    <col min="4" max="4" width="11.5703125" style="352" customWidth="1"/>
    <col min="5" max="5" width="17.7109375" style="352" customWidth="1"/>
    <col min="6" max="6" width="16.42578125" style="352" customWidth="1"/>
    <col min="7" max="7" width="14.5703125" style="352" customWidth="1"/>
    <col min="8" max="8" width="17.5703125" style="352" customWidth="1"/>
    <col min="9" max="9" width="10" style="352" customWidth="1"/>
    <col min="10" max="10" width="17" style="352" customWidth="1"/>
    <col min="11" max="11" width="14.28515625" style="352" customWidth="1"/>
    <col min="12" max="12" width="13" style="352" customWidth="1"/>
    <col min="13" max="13" width="12.5703125" style="352" customWidth="1"/>
    <col min="14" max="14" width="14.140625" style="352" customWidth="1"/>
    <col min="15" max="16" width="14.7109375" style="352" customWidth="1"/>
    <col min="17" max="17" width="16.28515625" style="352" hidden="1" customWidth="1"/>
    <col min="18" max="18" width="23" style="353" hidden="1" customWidth="1"/>
    <col min="19" max="19" width="19.42578125" style="353" hidden="1" customWidth="1"/>
    <col min="20" max="20" width="9.5703125" style="352" hidden="1" customWidth="1"/>
    <col min="21" max="22" width="15.42578125" style="354" hidden="1" customWidth="1"/>
    <col min="23" max="23" width="15.42578125" style="352" hidden="1" customWidth="1"/>
    <col min="24" max="16384" width="9.140625" style="352"/>
  </cols>
  <sheetData>
    <row r="1" spans="1:22" ht="14.25" x14ac:dyDescent="0.2">
      <c r="A1" s="350" t="s">
        <v>75</v>
      </c>
      <c r="B1" s="350"/>
      <c r="C1" s="350"/>
      <c r="D1" s="350"/>
      <c r="E1" s="350"/>
      <c r="F1" s="350"/>
      <c r="G1" s="350"/>
      <c r="H1" s="350"/>
      <c r="I1" s="350"/>
      <c r="J1" s="350"/>
      <c r="K1" s="350"/>
      <c r="L1" s="350"/>
      <c r="M1" s="351"/>
      <c r="N1" s="351"/>
      <c r="O1" s="351"/>
      <c r="P1" s="351"/>
    </row>
    <row r="2" spans="1:22" ht="14.25" x14ac:dyDescent="0.2">
      <c r="A2" s="355" t="s">
        <v>184</v>
      </c>
      <c r="B2" s="355"/>
      <c r="C2" s="355"/>
      <c r="D2" s="355"/>
      <c r="E2" s="355"/>
      <c r="F2" s="355"/>
      <c r="G2" s="355"/>
      <c r="H2" s="355"/>
      <c r="I2" s="355"/>
      <c r="J2" s="355"/>
      <c r="K2" s="355"/>
      <c r="L2" s="355"/>
      <c r="M2" s="356"/>
      <c r="N2" s="356"/>
      <c r="O2" s="356"/>
      <c r="P2" s="356"/>
    </row>
    <row r="3" spans="1:22" ht="15" x14ac:dyDescent="0.25">
      <c r="A3" s="357"/>
      <c r="B3" s="357"/>
      <c r="C3" s="357"/>
      <c r="D3" s="357"/>
      <c r="E3" s="357"/>
      <c r="F3" s="357"/>
      <c r="G3" s="357"/>
      <c r="H3" s="357"/>
      <c r="I3" s="357"/>
      <c r="J3" s="357"/>
      <c r="K3" s="357"/>
      <c r="L3" s="357"/>
      <c r="M3" s="358"/>
      <c r="N3" s="358"/>
      <c r="O3" s="358"/>
      <c r="P3" s="358"/>
    </row>
    <row r="4" spans="1:22" ht="4.5" customHeight="1" x14ac:dyDescent="0.2">
      <c r="A4" s="359"/>
      <c r="B4" s="359"/>
      <c r="C4" s="359"/>
      <c r="D4" s="359"/>
      <c r="E4" s="359"/>
      <c r="F4" s="359"/>
      <c r="G4" s="359"/>
      <c r="H4" s="359"/>
      <c r="I4" s="359"/>
      <c r="J4" s="359"/>
      <c r="K4" s="359"/>
      <c r="L4" s="359"/>
    </row>
    <row r="5" spans="1:22" s="351" customFormat="1" ht="17.25" customHeight="1" x14ac:dyDescent="0.25">
      <c r="A5" s="363"/>
      <c r="C5" s="363"/>
      <c r="L5" s="364"/>
      <c r="R5" s="363"/>
      <c r="S5" s="363"/>
    </row>
    <row r="6" spans="1:22" ht="24" customHeight="1" x14ac:dyDescent="0.2">
      <c r="A6" s="365" t="s">
        <v>52</v>
      </c>
      <c r="B6" s="366" t="s">
        <v>15</v>
      </c>
      <c r="C6" s="367" t="s">
        <v>73</v>
      </c>
      <c r="D6" s="367" t="s">
        <v>72</v>
      </c>
      <c r="E6" s="368" t="s">
        <v>67</v>
      </c>
      <c r="F6" s="368" t="s">
        <v>65</v>
      </c>
      <c r="G6" s="368"/>
      <c r="H6" s="368"/>
      <c r="I6" s="369" t="s">
        <v>69</v>
      </c>
      <c r="J6" s="369" t="s">
        <v>140</v>
      </c>
      <c r="K6" s="369" t="s">
        <v>127</v>
      </c>
      <c r="L6" s="369" t="s">
        <v>68</v>
      </c>
      <c r="M6" s="365" t="s">
        <v>153</v>
      </c>
      <c r="N6" s="365"/>
      <c r="O6" s="365" t="s">
        <v>189</v>
      </c>
      <c r="P6" s="365"/>
    </row>
    <row r="7" spans="1:22" ht="24" customHeight="1" x14ac:dyDescent="0.2">
      <c r="A7" s="365"/>
      <c r="B7" s="366"/>
      <c r="C7" s="370"/>
      <c r="D7" s="370"/>
      <c r="E7" s="368"/>
      <c r="F7" s="371" t="s">
        <v>71</v>
      </c>
      <c r="G7" s="372" t="s">
        <v>64</v>
      </c>
      <c r="H7" s="371" t="s">
        <v>70</v>
      </c>
      <c r="I7" s="369"/>
      <c r="J7" s="369"/>
      <c r="K7" s="369"/>
      <c r="L7" s="369"/>
      <c r="M7" s="373" t="s">
        <v>190</v>
      </c>
      <c r="N7" s="373" t="s">
        <v>191</v>
      </c>
      <c r="O7" s="373" t="s">
        <v>190</v>
      </c>
      <c r="P7" s="373" t="s">
        <v>191</v>
      </c>
    </row>
    <row r="8" spans="1:22" ht="21" customHeight="1" x14ac:dyDescent="0.2">
      <c r="A8" s="373" t="s">
        <v>47</v>
      </c>
      <c r="B8" s="404" t="s">
        <v>185</v>
      </c>
      <c r="C8" s="411"/>
      <c r="D8" s="374"/>
      <c r="E8" s="375">
        <f>SUM(E9:E16)</f>
        <v>20000000</v>
      </c>
      <c r="F8" s="375">
        <f>SUM(F9:F16)</f>
        <v>200000000</v>
      </c>
      <c r="G8" s="375">
        <f>SUM(G9:G16)</f>
        <v>5000000</v>
      </c>
      <c r="H8" s="375">
        <f>SUM(H9:H16)</f>
        <v>215000000</v>
      </c>
      <c r="I8" s="375">
        <f>SUM(I9:I16)</f>
        <v>15000000</v>
      </c>
      <c r="J8" s="375">
        <f>SUM(J9:J16)</f>
        <v>205000000</v>
      </c>
      <c r="K8" s="375">
        <f>'Vị trí 1'!L7</f>
        <v>10000000</v>
      </c>
      <c r="L8" s="375">
        <f>SUM(L9:L16)</f>
        <v>215000000</v>
      </c>
      <c r="M8" s="376">
        <f>SUM(M9:M15)</f>
        <v>0</v>
      </c>
      <c r="N8" s="376">
        <f>SUM(N9:N16)</f>
        <v>0</v>
      </c>
      <c r="O8" s="375">
        <f>SUM(O9:O15)</f>
        <v>0</v>
      </c>
      <c r="P8" s="375">
        <f>SUM(P9:P15)</f>
        <v>0</v>
      </c>
      <c r="Q8" s="375">
        <v>5753409556553</v>
      </c>
      <c r="R8" s="142" t="e">
        <f>SUM(R9:R16)</f>
        <v>#REF!</v>
      </c>
      <c r="S8" s="142">
        <f>SUM(S9:S16)</f>
        <v>4182594680</v>
      </c>
      <c r="T8" s="142">
        <f>SUM(T9:T16)</f>
        <v>0</v>
      </c>
      <c r="U8" s="142" t="e">
        <f>SUM(U9:U16)</f>
        <v>#REF!</v>
      </c>
      <c r="V8" s="142">
        <f>SUM(V9:V41)</f>
        <v>108162391265</v>
      </c>
    </row>
    <row r="9" spans="1:22" ht="21.75" customHeight="1" x14ac:dyDescent="0.2">
      <c r="A9" s="406">
        <v>1</v>
      </c>
      <c r="B9" s="403" t="s">
        <v>163</v>
      </c>
      <c r="C9" s="377" t="s">
        <v>192</v>
      </c>
      <c r="D9" s="378">
        <f>'Vị trí 1'!E9</f>
        <v>50000000000</v>
      </c>
      <c r="E9" s="386">
        <f>'Vị trí 1'!H7</f>
        <v>20000000</v>
      </c>
      <c r="F9" s="386">
        <f>'Vị trí 1'!I7</f>
        <v>200000000</v>
      </c>
      <c r="G9" s="386">
        <f>'Vị trí 1'!J7</f>
        <v>5000000</v>
      </c>
      <c r="H9" s="386">
        <f>'Vị trí 1'!N7</f>
        <v>215000000</v>
      </c>
      <c r="I9" s="386">
        <f>'Vị trí 1'!M7</f>
        <v>15000000</v>
      </c>
      <c r="J9" s="386">
        <f>'Vị trí 1'!K7</f>
        <v>205000000</v>
      </c>
      <c r="K9" s="386">
        <f>'Vị trí 1'!L7</f>
        <v>10000000</v>
      </c>
      <c r="L9" s="386">
        <f>'Vị trí 1'!N7</f>
        <v>215000000</v>
      </c>
      <c r="M9" s="386"/>
      <c r="N9" s="386"/>
      <c r="O9" s="401"/>
      <c r="P9" s="386"/>
      <c r="R9" s="379" t="e">
        <f>#REF!</f>
        <v>#REF!</v>
      </c>
      <c r="S9" s="380">
        <v>3838896000</v>
      </c>
      <c r="U9" s="381" t="e">
        <f>R9+S9</f>
        <v>#REF!</v>
      </c>
      <c r="V9" s="381">
        <v>69129000</v>
      </c>
    </row>
    <row r="10" spans="1:22" ht="21" customHeight="1" x14ac:dyDescent="0.2">
      <c r="A10" s="407">
        <v>2</v>
      </c>
      <c r="B10" s="403" t="s">
        <v>164</v>
      </c>
      <c r="C10" s="377"/>
      <c r="D10" s="378"/>
      <c r="E10" s="386"/>
      <c r="F10" s="386"/>
      <c r="G10" s="386"/>
      <c r="H10" s="386"/>
      <c r="I10" s="386"/>
      <c r="J10" s="386"/>
      <c r="K10" s="386"/>
      <c r="L10" s="386"/>
      <c r="M10" s="386"/>
      <c r="N10" s="386"/>
      <c r="O10" s="402"/>
      <c r="P10" s="386"/>
      <c r="Q10" s="382">
        <f>M9</f>
        <v>0</v>
      </c>
      <c r="U10" s="381">
        <f t="shared" ref="U10:U20" si="0">R10+S10</f>
        <v>0</v>
      </c>
      <c r="V10" s="381">
        <v>168044600</v>
      </c>
    </row>
    <row r="11" spans="1:22" ht="22.5" customHeight="1" x14ac:dyDescent="0.2">
      <c r="A11" s="377"/>
      <c r="B11" s="383"/>
      <c r="C11" s="377"/>
      <c r="D11" s="378"/>
      <c r="E11" s="384"/>
      <c r="F11" s="384"/>
      <c r="G11" s="384"/>
      <c r="H11" s="384"/>
      <c r="I11" s="384"/>
      <c r="J11" s="384"/>
      <c r="K11" s="384"/>
      <c r="L11" s="384"/>
      <c r="M11" s="384"/>
      <c r="N11" s="384"/>
      <c r="O11" s="385"/>
      <c r="P11" s="386"/>
      <c r="R11" s="379" t="e">
        <f>#REF!</f>
        <v>#REF!</v>
      </c>
      <c r="S11" s="380">
        <f>199598680+144100000</f>
        <v>343698680</v>
      </c>
      <c r="T11" s="380"/>
      <c r="U11" s="381" t="e">
        <f t="shared" si="0"/>
        <v>#REF!</v>
      </c>
      <c r="V11" s="381">
        <v>6158867000</v>
      </c>
    </row>
    <row r="12" spans="1:22" ht="22.5" customHeight="1" x14ac:dyDescent="0.2">
      <c r="A12" s="377"/>
      <c r="B12" s="383"/>
      <c r="C12" s="377"/>
      <c r="D12" s="378"/>
      <c r="E12" s="386"/>
      <c r="F12" s="386"/>
      <c r="G12" s="386"/>
      <c r="H12" s="386"/>
      <c r="I12" s="386"/>
      <c r="J12" s="386"/>
      <c r="K12" s="386"/>
      <c r="L12" s="384"/>
      <c r="M12" s="384"/>
      <c r="N12" s="384"/>
      <c r="O12" s="385"/>
      <c r="P12" s="386"/>
      <c r="R12" s="379">
        <f>'Vị trí 1'!Q7</f>
        <v>0</v>
      </c>
      <c r="S12" s="380"/>
      <c r="U12" s="381">
        <f t="shared" si="0"/>
        <v>0</v>
      </c>
      <c r="V12" s="381">
        <v>2021611680</v>
      </c>
    </row>
    <row r="13" spans="1:22" ht="22.5" customHeight="1" x14ac:dyDescent="0.2">
      <c r="A13" s="377"/>
      <c r="B13" s="383"/>
      <c r="C13" s="377"/>
      <c r="D13" s="378"/>
      <c r="E13" s="384"/>
      <c r="F13" s="384"/>
      <c r="G13" s="384"/>
      <c r="H13" s="384"/>
      <c r="I13" s="384"/>
      <c r="J13" s="384"/>
      <c r="K13" s="384"/>
      <c r="L13" s="384"/>
      <c r="M13" s="384"/>
      <c r="N13" s="384"/>
      <c r="O13" s="384"/>
      <c r="P13" s="387"/>
      <c r="R13" s="379" t="e">
        <f>#REF!</f>
        <v>#REF!</v>
      </c>
      <c r="S13" s="380"/>
      <c r="U13" s="381" t="e">
        <f t="shared" si="0"/>
        <v>#REF!</v>
      </c>
      <c r="V13" s="381">
        <v>1243796389</v>
      </c>
    </row>
    <row r="14" spans="1:22" ht="22.5" customHeight="1" x14ac:dyDescent="0.2">
      <c r="A14" s="388"/>
      <c r="B14" s="383"/>
      <c r="C14" s="377"/>
      <c r="D14" s="378"/>
      <c r="E14" s="386"/>
      <c r="F14" s="386"/>
      <c r="G14" s="386"/>
      <c r="H14" s="386"/>
      <c r="I14" s="386"/>
      <c r="J14" s="386"/>
      <c r="K14" s="386"/>
      <c r="L14" s="386"/>
      <c r="M14" s="386"/>
      <c r="N14" s="386"/>
      <c r="O14" s="386"/>
      <c r="P14" s="386"/>
      <c r="Q14" s="382">
        <f>M14</f>
        <v>0</v>
      </c>
      <c r="R14" s="379" t="e">
        <f>#REF!</f>
        <v>#REF!</v>
      </c>
      <c r="S14" s="380"/>
      <c r="U14" s="381" t="e">
        <f t="shared" si="0"/>
        <v>#REF!</v>
      </c>
      <c r="V14" s="381">
        <v>2004328437</v>
      </c>
    </row>
    <row r="15" spans="1:22" ht="22.5" customHeight="1" x14ac:dyDescent="0.2">
      <c r="A15" s="389"/>
      <c r="B15" s="383"/>
      <c r="C15" s="377"/>
      <c r="D15" s="378"/>
      <c r="E15" s="386"/>
      <c r="F15" s="386"/>
      <c r="G15" s="386"/>
      <c r="H15" s="386"/>
      <c r="I15" s="386"/>
      <c r="J15" s="386"/>
      <c r="K15" s="386"/>
      <c r="L15" s="386"/>
      <c r="M15" s="386"/>
      <c r="N15" s="386"/>
      <c r="O15" s="386"/>
      <c r="P15" s="386"/>
      <c r="U15" s="381">
        <f t="shared" si="0"/>
        <v>0</v>
      </c>
      <c r="V15" s="381">
        <v>2169904280</v>
      </c>
    </row>
    <row r="16" spans="1:22" ht="22.5" customHeight="1" x14ac:dyDescent="0.2">
      <c r="A16" s="377"/>
      <c r="B16" s="383"/>
      <c r="C16" s="377"/>
      <c r="D16" s="378"/>
      <c r="E16" s="384"/>
      <c r="F16" s="384"/>
      <c r="G16" s="384"/>
      <c r="H16" s="384"/>
      <c r="I16" s="384"/>
      <c r="J16" s="384"/>
      <c r="K16" s="384"/>
      <c r="L16" s="384"/>
      <c r="M16" s="384"/>
      <c r="N16" s="384"/>
      <c r="O16" s="384"/>
      <c r="P16" s="386"/>
      <c r="R16" s="380" t="e">
        <f>#REF!</f>
        <v>#REF!</v>
      </c>
      <c r="S16" s="380"/>
      <c r="U16" s="381" t="e">
        <f t="shared" si="0"/>
        <v>#REF!</v>
      </c>
      <c r="V16" s="381">
        <v>169690000</v>
      </c>
    </row>
    <row r="17" spans="1:22" s="393" customFormat="1" ht="22.5" customHeight="1" x14ac:dyDescent="0.2">
      <c r="A17" s="373"/>
      <c r="B17" s="404"/>
      <c r="C17" s="411"/>
      <c r="D17" s="390"/>
      <c r="E17" s="391"/>
      <c r="F17" s="391"/>
      <c r="G17" s="391"/>
      <c r="H17" s="391"/>
      <c r="I17" s="391"/>
      <c r="J17" s="391"/>
      <c r="K17" s="391"/>
      <c r="L17" s="391"/>
      <c r="M17" s="391"/>
      <c r="N17" s="391"/>
      <c r="O17" s="391"/>
      <c r="P17" s="392"/>
      <c r="R17" s="142" t="e">
        <f>#REF!</f>
        <v>#REF!</v>
      </c>
      <c r="S17" s="142">
        <v>8742600000</v>
      </c>
      <c r="U17" s="364" t="e">
        <f t="shared" si="0"/>
        <v>#REF!</v>
      </c>
      <c r="V17" s="381">
        <v>950000000</v>
      </c>
    </row>
    <row r="18" spans="1:22" s="393" customFormat="1" ht="22.5" customHeight="1" x14ac:dyDescent="0.2">
      <c r="A18" s="373"/>
      <c r="B18" s="404"/>
      <c r="C18" s="411"/>
      <c r="D18" s="390"/>
      <c r="E18" s="391"/>
      <c r="F18" s="391"/>
      <c r="G18" s="391"/>
      <c r="H18" s="391"/>
      <c r="I18" s="391"/>
      <c r="J18" s="391"/>
      <c r="K18" s="391"/>
      <c r="L18" s="391"/>
      <c r="M18" s="391"/>
      <c r="N18" s="391"/>
      <c r="O18" s="391"/>
      <c r="P18" s="392"/>
      <c r="R18" s="142">
        <f>'[1]Tổng hợp'!$U$32</f>
        <v>48785000000</v>
      </c>
      <c r="S18" s="394"/>
      <c r="U18" s="364">
        <f t="shared" si="0"/>
        <v>48785000000</v>
      </c>
      <c r="V18" s="381">
        <v>2015894800</v>
      </c>
    </row>
    <row r="19" spans="1:22" s="393" customFormat="1" ht="22.5" customHeight="1" x14ac:dyDescent="0.2">
      <c r="A19" s="373"/>
      <c r="B19" s="405"/>
      <c r="C19" s="411"/>
      <c r="D19" s="390"/>
      <c r="E19" s="391"/>
      <c r="F19" s="391"/>
      <c r="G19" s="391"/>
      <c r="H19" s="391"/>
      <c r="I19" s="391"/>
      <c r="J19" s="391"/>
      <c r="K19" s="391"/>
      <c r="L19" s="391"/>
      <c r="M19" s="391"/>
      <c r="N19" s="391"/>
      <c r="O19" s="391"/>
      <c r="P19" s="392"/>
      <c r="R19" s="142"/>
      <c r="S19" s="394"/>
      <c r="U19" s="381">
        <f t="shared" si="0"/>
        <v>0</v>
      </c>
      <c r="V19" s="381">
        <v>31839000000</v>
      </c>
    </row>
    <row r="20" spans="1:22" ht="22.5" customHeight="1" x14ac:dyDescent="0.2">
      <c r="A20" s="408"/>
      <c r="B20" s="366" t="s">
        <v>7</v>
      </c>
      <c r="C20" s="366"/>
      <c r="D20" s="391">
        <f>SUM(D9:D15)</f>
        <v>50000000000</v>
      </c>
      <c r="E20" s="391">
        <f>E8+E17+E18+E19</f>
        <v>20000000</v>
      </c>
      <c r="F20" s="391">
        <f>F8+F17+F18+F19</f>
        <v>200000000</v>
      </c>
      <c r="G20" s="391">
        <f>G8+G17+G18+G19</f>
        <v>5000000</v>
      </c>
      <c r="H20" s="391">
        <f>H8+H17+H18+H19</f>
        <v>215000000</v>
      </c>
      <c r="I20" s="391">
        <f>I8+I17+I18+I19</f>
        <v>15000000</v>
      </c>
      <c r="J20" s="391">
        <f>J8+J17+J18+J19</f>
        <v>205000000</v>
      </c>
      <c r="K20" s="391">
        <f>K8+K17+K18+K19</f>
        <v>10000000</v>
      </c>
      <c r="L20" s="391">
        <f>L8+L17+L18+L19</f>
        <v>215000000</v>
      </c>
      <c r="M20" s="391">
        <f>M8+M17+M18+M19</f>
        <v>0</v>
      </c>
      <c r="N20" s="391">
        <f>N8+N17+N18+N19</f>
        <v>0</v>
      </c>
      <c r="O20" s="391">
        <f>O8+O17+O18+O19</f>
        <v>0</v>
      </c>
      <c r="P20" s="391">
        <f>P8+P17+P18+P19</f>
        <v>0</v>
      </c>
      <c r="R20" s="142" t="e">
        <f>R8+R17+R18+R19</f>
        <v>#REF!</v>
      </c>
      <c r="S20" s="395">
        <f>S8+S17+S18+S19</f>
        <v>12925194680</v>
      </c>
      <c r="T20" s="393"/>
      <c r="U20" s="396" t="e">
        <f t="shared" si="0"/>
        <v>#REF!</v>
      </c>
      <c r="V20" s="381">
        <v>950000000</v>
      </c>
    </row>
    <row r="21" spans="1:22" s="363" customFormat="1" ht="22.5" customHeight="1" x14ac:dyDescent="0.25">
      <c r="A21" s="360"/>
      <c r="B21" s="361"/>
      <c r="C21" s="360"/>
      <c r="D21" s="397"/>
      <c r="E21" s="397"/>
      <c r="F21" s="397"/>
      <c r="G21" s="397"/>
      <c r="H21" s="397"/>
      <c r="I21" s="397"/>
      <c r="J21" s="362"/>
      <c r="K21" s="362"/>
      <c r="L21" s="362"/>
      <c r="M21" s="396"/>
      <c r="Q21" s="363" t="s">
        <v>157</v>
      </c>
      <c r="R21" s="142">
        <f>'[2]Tổng hợp'!$N$16</f>
        <v>630647047258</v>
      </c>
      <c r="U21" s="396">
        <f>R21</f>
        <v>630647047258</v>
      </c>
      <c r="V21" s="381">
        <v>1123159600</v>
      </c>
    </row>
    <row r="22" spans="1:22" s="363" customFormat="1" ht="24.95" customHeight="1" x14ac:dyDescent="0.25">
      <c r="A22" s="360"/>
      <c r="B22" s="361"/>
      <c r="C22" s="360"/>
      <c r="D22" s="397"/>
      <c r="E22" s="397"/>
      <c r="F22" s="397"/>
      <c r="G22" s="397"/>
      <c r="H22" s="397"/>
      <c r="I22" s="397"/>
      <c r="J22" s="362"/>
      <c r="K22" s="362"/>
      <c r="L22" s="362"/>
      <c r="M22" s="396"/>
      <c r="R22" s="142" t="e">
        <f>SUM(R20:R21)</f>
        <v>#REF!</v>
      </c>
      <c r="U22" s="396" t="e">
        <f>SUM(U20:U21)</f>
        <v>#REF!</v>
      </c>
      <c r="V22" s="381">
        <v>50660106291</v>
      </c>
    </row>
    <row r="23" spans="1:22" s="363" customFormat="1" ht="24.95" customHeight="1" x14ac:dyDescent="0.25">
      <c r="A23" s="360"/>
      <c r="B23" s="361"/>
      <c r="C23" s="360"/>
      <c r="D23" s="397"/>
      <c r="E23" s="397"/>
      <c r="F23" s="397"/>
      <c r="G23" s="397"/>
      <c r="H23" s="397"/>
      <c r="I23" s="397"/>
      <c r="J23" s="362"/>
      <c r="K23" s="362"/>
      <c r="L23" s="362"/>
      <c r="M23" s="398"/>
      <c r="R23" s="142">
        <v>1420213290655</v>
      </c>
      <c r="S23" s="399">
        <f>R23+S20</f>
        <v>1433138485335</v>
      </c>
      <c r="V23" s="381">
        <v>950000000</v>
      </c>
    </row>
    <row r="24" spans="1:22" x14ac:dyDescent="0.2">
      <c r="R24" s="380"/>
      <c r="S24" s="400" t="e">
        <f>R22-S23</f>
        <v>#REF!</v>
      </c>
      <c r="V24" s="381">
        <v>2649842800</v>
      </c>
    </row>
    <row r="25" spans="1:22" x14ac:dyDescent="0.2">
      <c r="R25" s="400"/>
      <c r="V25" s="381">
        <v>3019016388</v>
      </c>
    </row>
    <row r="26" spans="1:22" x14ac:dyDescent="0.2">
      <c r="V26" s="381"/>
    </row>
    <row r="27" spans="1:22" x14ac:dyDescent="0.2">
      <c r="V27" s="381"/>
    </row>
    <row r="28" spans="1:22" x14ac:dyDescent="0.2">
      <c r="V28" s="381"/>
    </row>
    <row r="29" spans="1:22" x14ac:dyDescent="0.2">
      <c r="V29" s="381"/>
    </row>
    <row r="30" spans="1:22" x14ac:dyDescent="0.2">
      <c r="V30" s="381"/>
    </row>
  </sheetData>
  <mergeCells count="18">
    <mergeCell ref="A1:L1"/>
    <mergeCell ref="A2:L2"/>
    <mergeCell ref="A3:L3"/>
    <mergeCell ref="B20:C20"/>
    <mergeCell ref="A6:A7"/>
    <mergeCell ref="B6:B7"/>
    <mergeCell ref="E6:E7"/>
    <mergeCell ref="F6:H6"/>
    <mergeCell ref="A14:A15"/>
    <mergeCell ref="A4:L4"/>
    <mergeCell ref="L6:L7"/>
    <mergeCell ref="D6:D7"/>
    <mergeCell ref="C6:C7"/>
    <mergeCell ref="I6:I7"/>
    <mergeCell ref="O6:P6"/>
    <mergeCell ref="M6:N6"/>
    <mergeCell ref="J6:J7"/>
    <mergeCell ref="K6:K7"/>
  </mergeCells>
  <printOptions horizontalCentered="1"/>
  <pageMargins left="0.31" right="0.2" top="0.17" bottom="0.17" header="0.28999999999999998" footer="0.19"/>
  <pageSetup paperSize="9" scale="65"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9"/>
  <sheetViews>
    <sheetView showZeros="0" tabSelected="1" zoomScale="80" zoomScaleNormal="80" workbookViewId="0">
      <selection activeCell="G27" sqref="G27"/>
    </sheetView>
  </sheetViews>
  <sheetFormatPr defaultRowHeight="18.75" x14ac:dyDescent="0.3"/>
  <cols>
    <col min="1" max="1" width="9.5703125" style="335" customWidth="1"/>
    <col min="2" max="2" width="29.28515625" style="336" customWidth="1"/>
    <col min="3" max="3" width="21" style="336" customWidth="1"/>
    <col min="4" max="4" width="18.140625" style="336" customWidth="1"/>
    <col min="5" max="5" width="14.28515625" style="145" customWidth="1"/>
    <col min="6" max="7" width="17.140625" style="145" customWidth="1"/>
    <col min="8" max="8" width="17.140625" style="337" customWidth="1"/>
    <col min="9" max="9" width="17.7109375" style="337" customWidth="1"/>
    <col min="10" max="10" width="18" style="337" customWidth="1"/>
    <col min="11" max="11" width="17.140625" style="337" customWidth="1"/>
    <col min="12" max="12" width="16.42578125" style="337" customWidth="1"/>
    <col min="13" max="13" width="17.42578125" style="337" customWidth="1"/>
    <col min="14" max="14" width="18.42578125" style="337" customWidth="1"/>
    <col min="15" max="15" width="17" style="337" customWidth="1"/>
    <col min="16" max="16" width="17.85546875" style="337" customWidth="1"/>
    <col min="17" max="17" width="17" style="337" customWidth="1"/>
    <col min="18" max="18" width="15.85546875" style="337" customWidth="1"/>
    <col min="19" max="19" width="25" style="313" customWidth="1"/>
    <col min="20" max="20" width="25.42578125" style="313" customWidth="1"/>
    <col min="21" max="21" width="27" style="313" customWidth="1"/>
    <col min="22" max="16384" width="9.140625" style="313"/>
  </cols>
  <sheetData>
    <row r="1" spans="1:20" x14ac:dyDescent="0.3">
      <c r="A1" s="311" t="s">
        <v>0</v>
      </c>
      <c r="B1" s="311"/>
      <c r="C1" s="311"/>
      <c r="D1" s="311"/>
      <c r="E1" s="311"/>
      <c r="F1" s="311"/>
      <c r="G1" s="311"/>
      <c r="H1" s="311"/>
      <c r="I1" s="311"/>
      <c r="J1" s="311"/>
      <c r="K1" s="311"/>
      <c r="L1" s="311"/>
      <c r="M1" s="311"/>
      <c r="N1" s="311"/>
      <c r="O1" s="311"/>
      <c r="P1" s="312"/>
      <c r="Q1" s="312"/>
      <c r="R1" s="312"/>
    </row>
    <row r="2" spans="1:20" x14ac:dyDescent="0.3">
      <c r="A2" s="311" t="s">
        <v>171</v>
      </c>
      <c r="B2" s="311"/>
      <c r="C2" s="311"/>
      <c r="D2" s="311"/>
      <c r="E2" s="311"/>
      <c r="F2" s="311"/>
      <c r="G2" s="311"/>
      <c r="H2" s="311"/>
      <c r="I2" s="311"/>
      <c r="J2" s="311"/>
      <c r="K2" s="311"/>
      <c r="L2" s="311"/>
      <c r="M2" s="311"/>
      <c r="N2" s="311"/>
      <c r="O2" s="311"/>
      <c r="P2" s="312"/>
      <c r="Q2" s="312"/>
      <c r="R2" s="312"/>
    </row>
    <row r="3" spans="1:20" x14ac:dyDescent="0.3">
      <c r="A3" s="311" t="s">
        <v>172</v>
      </c>
      <c r="B3" s="311"/>
      <c r="C3" s="311"/>
      <c r="D3" s="311"/>
      <c r="E3" s="311"/>
      <c r="F3" s="311"/>
      <c r="G3" s="311"/>
      <c r="H3" s="311"/>
      <c r="I3" s="311"/>
      <c r="J3" s="311"/>
      <c r="K3" s="311"/>
      <c r="L3" s="311"/>
      <c r="M3" s="311"/>
      <c r="N3" s="311"/>
      <c r="O3" s="311"/>
      <c r="P3" s="312"/>
      <c r="Q3" s="312"/>
      <c r="R3" s="312"/>
    </row>
    <row r="4" spans="1:20" s="141" customFormat="1" ht="31.5" customHeight="1" x14ac:dyDescent="0.25">
      <c r="A4" s="314" t="s">
        <v>173</v>
      </c>
      <c r="B4" s="315"/>
      <c r="C4" s="315"/>
      <c r="D4" s="315"/>
      <c r="E4" s="316"/>
      <c r="F4" s="316"/>
      <c r="G4" s="316"/>
      <c r="H4" s="316"/>
      <c r="I4" s="317"/>
      <c r="J4" s="144"/>
      <c r="K4" s="316"/>
      <c r="L4" s="316"/>
      <c r="M4" s="317"/>
      <c r="N4" s="144"/>
      <c r="O4" s="316"/>
      <c r="P4" s="316"/>
      <c r="Q4" s="316"/>
      <c r="R4" s="316"/>
    </row>
    <row r="5" spans="1:20" s="141" customFormat="1" ht="25.5" customHeight="1" x14ac:dyDescent="0.25">
      <c r="A5" s="318" t="s">
        <v>3</v>
      </c>
      <c r="B5" s="319" t="s">
        <v>1</v>
      </c>
      <c r="C5" s="320" t="s">
        <v>14</v>
      </c>
      <c r="D5" s="320" t="s">
        <v>205</v>
      </c>
      <c r="E5" s="318" t="s">
        <v>2</v>
      </c>
      <c r="F5" s="320" t="s">
        <v>53</v>
      </c>
      <c r="G5" s="320" t="s">
        <v>169</v>
      </c>
      <c r="H5" s="222" t="s">
        <v>67</v>
      </c>
      <c r="I5" s="321" t="s">
        <v>141</v>
      </c>
      <c r="J5" s="322"/>
      <c r="K5" s="322"/>
      <c r="L5" s="323"/>
      <c r="M5" s="319" t="s">
        <v>69</v>
      </c>
      <c r="N5" s="319" t="s">
        <v>68</v>
      </c>
      <c r="O5" s="321" t="s">
        <v>153</v>
      </c>
      <c r="P5" s="323"/>
      <c r="Q5" s="321" t="s">
        <v>189</v>
      </c>
      <c r="R5" s="323"/>
      <c r="S5" s="324"/>
      <c r="T5" s="325"/>
    </row>
    <row r="6" spans="1:20" s="141" customFormat="1" ht="39.75" customHeight="1" x14ac:dyDescent="0.25">
      <c r="A6" s="318"/>
      <c r="B6" s="319"/>
      <c r="C6" s="326"/>
      <c r="D6" s="326"/>
      <c r="E6" s="318"/>
      <c r="F6" s="326"/>
      <c r="G6" s="326"/>
      <c r="H6" s="327"/>
      <c r="I6" s="328" t="s">
        <v>66</v>
      </c>
      <c r="J6" s="182" t="s">
        <v>64</v>
      </c>
      <c r="K6" s="329" t="s">
        <v>142</v>
      </c>
      <c r="L6" s="329" t="s">
        <v>127</v>
      </c>
      <c r="M6" s="319"/>
      <c r="N6" s="319"/>
      <c r="O6" s="330" t="s">
        <v>138</v>
      </c>
      <c r="P6" s="330" t="s">
        <v>137</v>
      </c>
      <c r="Q6" s="330" t="s">
        <v>138</v>
      </c>
      <c r="R6" s="330" t="s">
        <v>137</v>
      </c>
      <c r="S6" s="146"/>
      <c r="T6" s="146"/>
    </row>
    <row r="7" spans="1:20" s="141" customFormat="1" ht="23.25" customHeight="1" x14ac:dyDescent="0.25">
      <c r="A7" s="331" t="s">
        <v>5</v>
      </c>
      <c r="B7" s="332"/>
      <c r="C7" s="333"/>
      <c r="D7" s="418"/>
      <c r="E7" s="161"/>
      <c r="F7" s="161"/>
      <c r="G7" s="161"/>
      <c r="H7" s="161">
        <f>H8+H14+H16</f>
        <v>20000000</v>
      </c>
      <c r="I7" s="161">
        <f t="shared" ref="I7:R7" si="0">I8+I14+I16</f>
        <v>200000000</v>
      </c>
      <c r="J7" s="161">
        <f t="shared" si="0"/>
        <v>5000000</v>
      </c>
      <c r="K7" s="161">
        <f t="shared" si="0"/>
        <v>205000000</v>
      </c>
      <c r="L7" s="161">
        <f t="shared" si="0"/>
        <v>10000000</v>
      </c>
      <c r="M7" s="161">
        <f t="shared" si="0"/>
        <v>15000000</v>
      </c>
      <c r="N7" s="161">
        <f t="shared" si="0"/>
        <v>215000000</v>
      </c>
      <c r="O7" s="161">
        <f t="shared" si="0"/>
        <v>205000000</v>
      </c>
      <c r="P7" s="161">
        <f t="shared" si="0"/>
        <v>10000000</v>
      </c>
      <c r="Q7" s="161">
        <f t="shared" si="0"/>
        <v>0</v>
      </c>
      <c r="R7" s="161">
        <f t="shared" si="0"/>
        <v>0</v>
      </c>
      <c r="S7" s="334"/>
      <c r="T7" s="334"/>
    </row>
    <row r="8" spans="1:20" s="141" customFormat="1" ht="23.25" customHeight="1" x14ac:dyDescent="0.25">
      <c r="A8" s="339" t="s">
        <v>47</v>
      </c>
      <c r="B8" s="338" t="s">
        <v>48</v>
      </c>
      <c r="C8" s="338"/>
      <c r="D8" s="338"/>
      <c r="E8" s="161">
        <f>SUM(E10:E13)</f>
        <v>0</v>
      </c>
      <c r="F8" s="161">
        <f>F10</f>
        <v>0</v>
      </c>
      <c r="G8" s="161"/>
      <c r="H8" s="161">
        <f>SUM(H10:H13)</f>
        <v>20000000</v>
      </c>
      <c r="I8" s="143">
        <f>SUM(I10:I13)</f>
        <v>200000000</v>
      </c>
      <c r="J8" s="161">
        <f>SUM(J10:J13)</f>
        <v>5000000</v>
      </c>
      <c r="K8" s="161">
        <f>SUM(K10:K13)</f>
        <v>205000000</v>
      </c>
      <c r="L8" s="161">
        <f>SUM(L10:L13)</f>
        <v>10000000</v>
      </c>
      <c r="M8" s="161">
        <f>H8-J8</f>
        <v>15000000</v>
      </c>
      <c r="N8" s="161">
        <f>H8+I8-J8</f>
        <v>215000000</v>
      </c>
      <c r="O8" s="161">
        <f>SUM(O10:O13)</f>
        <v>205000000</v>
      </c>
      <c r="P8" s="161">
        <f>SUM(P10:P13)</f>
        <v>10000000</v>
      </c>
      <c r="Q8" s="330">
        <f>SUM(Q10:Q13)</f>
        <v>0</v>
      </c>
      <c r="R8" s="330">
        <f>SUM(R10:R13)</f>
        <v>0</v>
      </c>
      <c r="S8" s="145"/>
      <c r="T8" s="316"/>
    </row>
    <row r="9" spans="1:20" s="141" customFormat="1" ht="23.25" customHeight="1" x14ac:dyDescent="0.25">
      <c r="A9" s="339"/>
      <c r="B9" s="156" t="s">
        <v>192</v>
      </c>
      <c r="C9" s="156" t="s">
        <v>204</v>
      </c>
      <c r="D9" s="160">
        <v>123456789</v>
      </c>
      <c r="E9" s="412">
        <v>50000000000</v>
      </c>
      <c r="F9" s="161"/>
      <c r="G9" s="161"/>
      <c r="H9" s="161"/>
      <c r="I9" s="143"/>
      <c r="J9" s="161"/>
      <c r="K9" s="161"/>
      <c r="L9" s="161"/>
      <c r="M9" s="161"/>
      <c r="N9" s="161"/>
      <c r="O9" s="161"/>
      <c r="P9" s="161"/>
      <c r="Q9" s="330"/>
      <c r="R9" s="330"/>
      <c r="S9" s="145"/>
      <c r="T9" s="316"/>
    </row>
    <row r="10" spans="1:20" s="141" customFormat="1" ht="39" customHeight="1" x14ac:dyDescent="0.25">
      <c r="A10" s="158" t="s">
        <v>45</v>
      </c>
      <c r="B10" s="159" t="s">
        <v>186</v>
      </c>
      <c r="C10" s="343"/>
      <c r="D10" s="343"/>
      <c r="E10" s="157"/>
      <c r="F10" s="157"/>
      <c r="G10" s="330"/>
      <c r="H10" s="140">
        <v>10000000</v>
      </c>
      <c r="I10" s="140"/>
      <c r="J10" s="140"/>
      <c r="K10" s="140">
        <f>H10</f>
        <v>10000000</v>
      </c>
      <c r="L10" s="140"/>
      <c r="M10" s="140"/>
      <c r="N10" s="140">
        <f>K10</f>
        <v>10000000</v>
      </c>
      <c r="O10" s="140">
        <f>N10</f>
        <v>10000000</v>
      </c>
      <c r="P10" s="140">
        <f>L10</f>
        <v>0</v>
      </c>
      <c r="Q10" s="140"/>
      <c r="R10" s="140"/>
      <c r="S10" s="145"/>
    </row>
    <row r="11" spans="1:20" s="141" customFormat="1" ht="33" customHeight="1" x14ac:dyDescent="0.25">
      <c r="A11" s="139" t="s">
        <v>63</v>
      </c>
      <c r="B11" s="159" t="s">
        <v>187</v>
      </c>
      <c r="C11" s="343"/>
      <c r="D11" s="343"/>
      <c r="E11" s="157"/>
      <c r="F11" s="157"/>
      <c r="G11" s="330"/>
      <c r="H11" s="140"/>
      <c r="I11" s="140">
        <v>200000000</v>
      </c>
      <c r="J11" s="140">
        <v>5000000</v>
      </c>
      <c r="K11" s="140">
        <f>I11-J11</f>
        <v>195000000</v>
      </c>
      <c r="L11" s="140"/>
      <c r="M11" s="140"/>
      <c r="N11" s="140">
        <f>K11</f>
        <v>195000000</v>
      </c>
      <c r="O11" s="140">
        <f>N11</f>
        <v>195000000</v>
      </c>
      <c r="P11" s="140"/>
      <c r="Q11" s="140"/>
      <c r="R11" s="140"/>
    </row>
    <row r="12" spans="1:20" s="141" customFormat="1" ht="24.95" customHeight="1" x14ac:dyDescent="0.25">
      <c r="A12" s="139" t="s">
        <v>74</v>
      </c>
      <c r="B12" s="159" t="s">
        <v>188</v>
      </c>
      <c r="C12" s="343"/>
      <c r="D12" s="343"/>
      <c r="E12" s="157"/>
      <c r="F12" s="157"/>
      <c r="G12" s="330"/>
      <c r="H12" s="140">
        <v>10000000</v>
      </c>
      <c r="I12" s="140"/>
      <c r="J12" s="140"/>
      <c r="K12" s="140"/>
      <c r="L12" s="140">
        <v>10000000</v>
      </c>
      <c r="M12" s="140"/>
      <c r="N12" s="140">
        <f>L12</f>
        <v>10000000</v>
      </c>
      <c r="O12" s="140"/>
      <c r="P12" s="140">
        <f>L12</f>
        <v>10000000</v>
      </c>
      <c r="Q12" s="140"/>
      <c r="R12" s="140"/>
    </row>
    <row r="13" spans="1:20" s="141" customFormat="1" ht="24.95" customHeight="1" x14ac:dyDescent="0.25">
      <c r="A13" s="139">
        <v>45330</v>
      </c>
      <c r="B13" s="159"/>
      <c r="C13" s="343"/>
      <c r="D13" s="343"/>
      <c r="E13" s="157"/>
      <c r="F13" s="157"/>
      <c r="G13" s="330"/>
      <c r="H13" s="140"/>
      <c r="I13" s="140"/>
      <c r="J13" s="140"/>
      <c r="K13" s="140"/>
      <c r="L13" s="140"/>
      <c r="M13" s="140"/>
      <c r="N13" s="140"/>
      <c r="O13" s="140"/>
      <c r="P13" s="140"/>
      <c r="Q13" s="140"/>
      <c r="R13" s="140"/>
    </row>
    <row r="14" spans="1:20" s="341" customFormat="1" ht="24.95" customHeight="1" x14ac:dyDescent="0.2">
      <c r="A14" s="330" t="s">
        <v>49</v>
      </c>
      <c r="B14" s="330" t="s">
        <v>51</v>
      </c>
      <c r="C14" s="340"/>
      <c r="D14" s="340"/>
      <c r="E14" s="157">
        <f>SUM(E15:E15)</f>
        <v>0</v>
      </c>
      <c r="F14" s="157"/>
      <c r="G14" s="157"/>
      <c r="H14" s="157">
        <f>SUM(H15:H15)</f>
        <v>0</v>
      </c>
      <c r="I14" s="157">
        <f>SUM(I15:I15)</f>
        <v>0</v>
      </c>
      <c r="J14" s="157">
        <f>SUM(J15:J15)</f>
        <v>0</v>
      </c>
      <c r="K14" s="157">
        <f>SUM(K15:K15)</f>
        <v>0</v>
      </c>
      <c r="L14" s="157">
        <f>SUM(L15:L15)</f>
        <v>0</v>
      </c>
      <c r="M14" s="157">
        <f>H14-J14</f>
        <v>0</v>
      </c>
      <c r="N14" s="157">
        <f>H14+I14-J14</f>
        <v>0</v>
      </c>
      <c r="O14" s="157">
        <f>SUM(O15:O15)</f>
        <v>0</v>
      </c>
      <c r="P14" s="157">
        <f>SUM(P15:P15)</f>
        <v>0</v>
      </c>
      <c r="Q14" s="157">
        <f>SUM(Q15:Q15)</f>
        <v>0</v>
      </c>
      <c r="R14" s="157">
        <f>SUM(R15:R15)</f>
        <v>0</v>
      </c>
    </row>
    <row r="15" spans="1:20" s="141" customFormat="1" ht="35.1" customHeight="1" x14ac:dyDescent="0.25">
      <c r="A15" s="139"/>
      <c r="B15" s="159"/>
      <c r="C15" s="159"/>
      <c r="D15" s="159"/>
      <c r="E15" s="157"/>
      <c r="F15" s="157"/>
      <c r="G15" s="330"/>
      <c r="H15" s="140"/>
      <c r="I15" s="140"/>
      <c r="J15" s="140"/>
      <c r="K15" s="140"/>
      <c r="L15" s="140"/>
      <c r="M15" s="140"/>
      <c r="N15" s="140"/>
      <c r="O15" s="140"/>
      <c r="P15" s="140"/>
      <c r="Q15" s="140"/>
      <c r="R15" s="140"/>
    </row>
    <row r="16" spans="1:20" s="341" customFormat="1" ht="24.95" customHeight="1" x14ac:dyDescent="0.2">
      <c r="A16" s="342" t="s">
        <v>50</v>
      </c>
      <c r="B16" s="410" t="s">
        <v>170</v>
      </c>
      <c r="C16" s="156"/>
      <c r="D16" s="156"/>
      <c r="E16" s="157">
        <f>SUM(E17:E19)</f>
        <v>0</v>
      </c>
      <c r="F16" s="157"/>
      <c r="G16" s="157"/>
      <c r="H16" s="157">
        <f t="shared" ref="H16:P16" si="1">SUM(H17:H19)</f>
        <v>0</v>
      </c>
      <c r="I16" s="157">
        <f t="shared" si="1"/>
        <v>0</v>
      </c>
      <c r="J16" s="157">
        <f t="shared" si="1"/>
        <v>0</v>
      </c>
      <c r="K16" s="157">
        <f t="shared" si="1"/>
        <v>0</v>
      </c>
      <c r="L16" s="157">
        <f t="shared" si="1"/>
        <v>0</v>
      </c>
      <c r="M16" s="157">
        <f>H16-J16</f>
        <v>0</v>
      </c>
      <c r="N16" s="157">
        <f>H16+I16-J16</f>
        <v>0</v>
      </c>
      <c r="O16" s="157">
        <f t="shared" si="1"/>
        <v>0</v>
      </c>
      <c r="P16" s="157">
        <f t="shared" si="1"/>
        <v>0</v>
      </c>
      <c r="Q16" s="157"/>
      <c r="R16" s="157"/>
    </row>
    <row r="17" spans="1:18" s="316" customFormat="1" ht="24.95" customHeight="1" x14ac:dyDescent="0.25">
      <c r="A17" s="139" t="s">
        <v>46</v>
      </c>
      <c r="B17" s="159"/>
      <c r="C17" s="159"/>
      <c r="D17" s="159"/>
      <c r="E17" s="157"/>
      <c r="F17" s="157"/>
      <c r="G17" s="330"/>
      <c r="H17" s="140"/>
      <c r="I17" s="140"/>
      <c r="J17" s="140"/>
      <c r="K17" s="140"/>
      <c r="L17" s="140"/>
      <c r="M17" s="140"/>
      <c r="N17" s="157"/>
      <c r="O17" s="140"/>
      <c r="P17" s="140"/>
      <c r="Q17" s="140"/>
      <c r="R17" s="140"/>
    </row>
    <row r="18" spans="1:18" s="316" customFormat="1" ht="24.95" customHeight="1" x14ac:dyDescent="0.25">
      <c r="A18" s="139" t="s">
        <v>128</v>
      </c>
      <c r="B18" s="159"/>
      <c r="C18" s="159"/>
      <c r="D18" s="159"/>
      <c r="E18" s="157"/>
      <c r="F18" s="157"/>
      <c r="G18" s="330"/>
      <c r="H18" s="140"/>
      <c r="I18" s="140"/>
      <c r="J18" s="140"/>
      <c r="K18" s="140"/>
      <c r="L18" s="140"/>
      <c r="M18" s="140"/>
      <c r="N18" s="157"/>
      <c r="O18" s="140"/>
      <c r="P18" s="140"/>
      <c r="Q18" s="140"/>
      <c r="R18" s="140"/>
    </row>
    <row r="19" spans="1:18" s="141" customFormat="1" ht="24.95" customHeight="1" x14ac:dyDescent="0.25">
      <c r="A19" s="158" t="s">
        <v>46</v>
      </c>
      <c r="B19" s="159"/>
      <c r="C19" s="338"/>
      <c r="D19" s="338"/>
      <c r="E19" s="157"/>
      <c r="F19" s="157"/>
      <c r="G19" s="330"/>
      <c r="H19" s="140"/>
      <c r="I19" s="140"/>
      <c r="J19" s="140"/>
      <c r="K19" s="140"/>
      <c r="L19" s="140"/>
      <c r="M19" s="140"/>
      <c r="N19" s="157"/>
      <c r="O19" s="140"/>
      <c r="P19" s="140"/>
      <c r="Q19" s="140"/>
      <c r="R19" s="140"/>
    </row>
  </sheetData>
  <mergeCells count="18">
    <mergeCell ref="C5:C6"/>
    <mergeCell ref="A7:C7"/>
    <mergeCell ref="D5:D6"/>
    <mergeCell ref="S5:T5"/>
    <mergeCell ref="O5:P5"/>
    <mergeCell ref="I5:L5"/>
    <mergeCell ref="Q5:R5"/>
    <mergeCell ref="G5:G6"/>
    <mergeCell ref="A1:O1"/>
    <mergeCell ref="A2:O2"/>
    <mergeCell ref="A3:O3"/>
    <mergeCell ref="M5:M6"/>
    <mergeCell ref="N5:N6"/>
    <mergeCell ref="H5:H6"/>
    <mergeCell ref="A5:A6"/>
    <mergeCell ref="B5:B6"/>
    <mergeCell ref="E5:E6"/>
    <mergeCell ref="F5:F6"/>
  </mergeCells>
  <phoneticPr fontId="6"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7424-6F41-4873-B6B5-2925A84CA937}">
  <dimension ref="A1:I33"/>
  <sheetViews>
    <sheetView workbookViewId="0">
      <selection activeCell="G17" sqref="G17"/>
    </sheetView>
  </sheetViews>
  <sheetFormatPr defaultRowHeight="15" x14ac:dyDescent="0.25"/>
  <cols>
    <col min="1" max="6" width="6.7109375" customWidth="1"/>
    <col min="7" max="7" width="35.7109375" customWidth="1"/>
    <col min="8" max="8" width="17.140625" customWidth="1"/>
  </cols>
  <sheetData>
    <row r="1" spans="1:8" ht="16.5" x14ac:dyDescent="0.25">
      <c r="A1" s="229" t="s">
        <v>178</v>
      </c>
      <c r="B1" s="229"/>
      <c r="C1" s="229"/>
      <c r="D1" s="229"/>
      <c r="E1" s="229"/>
      <c r="F1" s="229"/>
      <c r="G1" s="230" t="s">
        <v>20</v>
      </c>
      <c r="H1" s="230"/>
    </row>
    <row r="2" spans="1:8" ht="16.5" x14ac:dyDescent="0.25">
      <c r="A2" s="227" t="s">
        <v>179</v>
      </c>
      <c r="B2" s="227"/>
      <c r="C2" s="227"/>
      <c r="D2" s="227"/>
      <c r="E2" s="227"/>
      <c r="F2" s="227"/>
      <c r="G2" s="225" t="s">
        <v>21</v>
      </c>
      <c r="H2" s="225"/>
    </row>
    <row r="3" spans="1:8" ht="18.75" x14ac:dyDescent="0.3">
      <c r="A3" s="231" t="s">
        <v>177</v>
      </c>
      <c r="B3" s="231"/>
      <c r="C3" s="231"/>
      <c r="D3" s="231"/>
      <c r="E3" s="231"/>
      <c r="F3" s="231"/>
      <c r="G3" s="225" t="s">
        <v>154</v>
      </c>
      <c r="H3" s="225"/>
    </row>
    <row r="4" spans="1:8" ht="27" customHeight="1" x14ac:dyDescent="0.3">
      <c r="A4" s="223" t="s">
        <v>22</v>
      </c>
      <c r="B4" s="223"/>
      <c r="C4" s="223"/>
      <c r="D4" s="223"/>
      <c r="E4" s="223"/>
      <c r="F4" s="223"/>
      <c r="G4" s="223"/>
      <c r="H4" s="223"/>
    </row>
    <row r="5" spans="1:8" ht="22.5" customHeight="1" x14ac:dyDescent="0.25">
      <c r="A5" s="232" t="s">
        <v>64</v>
      </c>
      <c r="B5" s="232"/>
      <c r="C5" s="232"/>
      <c r="D5" s="232"/>
      <c r="E5" s="232"/>
      <c r="F5" s="232"/>
      <c r="G5" s="232"/>
      <c r="H5" s="232"/>
    </row>
    <row r="6" spans="1:8" ht="24.75" customHeight="1" x14ac:dyDescent="0.25">
      <c r="A6" s="233" t="s">
        <v>143</v>
      </c>
      <c r="B6" s="233"/>
      <c r="C6" s="233"/>
      <c r="D6" s="233"/>
      <c r="E6" s="233"/>
      <c r="F6" s="233"/>
      <c r="G6" s="233"/>
      <c r="H6" s="233"/>
    </row>
    <row r="7" spans="1:8" ht="18.75" x14ac:dyDescent="0.3">
      <c r="A7" s="223"/>
      <c r="B7" s="223"/>
      <c r="C7" s="223"/>
      <c r="D7" s="223"/>
      <c r="E7" s="223"/>
      <c r="F7" s="223"/>
      <c r="G7" s="223"/>
      <c r="H7" s="223"/>
    </row>
    <row r="8" spans="1:8" ht="21.95" customHeight="1" x14ac:dyDescent="0.25">
      <c r="A8" s="224" t="s">
        <v>23</v>
      </c>
      <c r="B8" s="224"/>
      <c r="C8" s="138" t="s">
        <v>181</v>
      </c>
      <c r="D8" s="138"/>
      <c r="E8" s="138"/>
      <c r="F8" s="138"/>
      <c r="G8" s="234" t="s">
        <v>24</v>
      </c>
      <c r="H8" s="234"/>
    </row>
    <row r="9" spans="1:8" ht="21.95" customHeight="1" x14ac:dyDescent="0.25">
      <c r="A9" s="235" t="s">
        <v>180</v>
      </c>
      <c r="B9" s="235"/>
      <c r="C9" s="235"/>
      <c r="D9" s="235"/>
      <c r="E9" s="235"/>
      <c r="F9" s="235"/>
      <c r="G9" s="234" t="s">
        <v>25</v>
      </c>
      <c r="H9" s="234"/>
    </row>
    <row r="10" spans="1:8" ht="21.95" customHeight="1" x14ac:dyDescent="0.25">
      <c r="A10" s="5" t="s">
        <v>26</v>
      </c>
      <c r="B10" s="4"/>
      <c r="C10" s="4"/>
      <c r="D10" s="5"/>
      <c r="E10" s="5"/>
      <c r="F10" s="5"/>
      <c r="G10" s="5"/>
      <c r="H10" s="5"/>
    </row>
    <row r="11" spans="1:8" ht="18.75" x14ac:dyDescent="0.3">
      <c r="A11" s="4"/>
      <c r="B11" s="4"/>
      <c r="C11" s="4"/>
      <c r="D11" s="3"/>
      <c r="E11" s="5"/>
      <c r="F11" s="5"/>
      <c r="G11" s="236" t="s">
        <v>27</v>
      </c>
      <c r="H11" s="236"/>
    </row>
    <row r="12" spans="1:8" ht="20.25" customHeight="1" x14ac:dyDescent="0.25">
      <c r="A12" s="242" t="s">
        <v>28</v>
      </c>
      <c r="B12" s="244" t="s">
        <v>29</v>
      </c>
      <c r="C12" s="245"/>
      <c r="D12" s="245"/>
      <c r="E12" s="245"/>
      <c r="F12" s="246"/>
      <c r="G12" s="237" t="s">
        <v>4</v>
      </c>
      <c r="H12" s="239" t="s">
        <v>30</v>
      </c>
    </row>
    <row r="13" spans="1:8" ht="25.5" x14ac:dyDescent="0.25">
      <c r="A13" s="243"/>
      <c r="B13" s="6" t="s">
        <v>43</v>
      </c>
      <c r="C13" s="6" t="s">
        <v>31</v>
      </c>
      <c r="D13" s="6" t="s">
        <v>32</v>
      </c>
      <c r="E13" s="6" t="s">
        <v>33</v>
      </c>
      <c r="F13" s="7" t="s">
        <v>34</v>
      </c>
      <c r="G13" s="238"/>
      <c r="H13" s="240"/>
    </row>
    <row r="14" spans="1:8" x14ac:dyDescent="0.25">
      <c r="A14" s="8" t="s">
        <v>35</v>
      </c>
      <c r="B14" s="8" t="s">
        <v>36</v>
      </c>
      <c r="C14" s="8" t="s">
        <v>37</v>
      </c>
      <c r="D14" s="9" t="s">
        <v>38</v>
      </c>
      <c r="E14" s="9" t="s">
        <v>39</v>
      </c>
      <c r="F14" s="8" t="s">
        <v>40</v>
      </c>
      <c r="G14" s="8" t="s">
        <v>41</v>
      </c>
      <c r="H14" s="9">
        <v>1</v>
      </c>
    </row>
    <row r="15" spans="1:8" ht="24.95" customHeight="1" x14ac:dyDescent="0.25">
      <c r="A15" s="14">
        <v>10</v>
      </c>
      <c r="B15" s="15">
        <v>11</v>
      </c>
      <c r="C15" s="16">
        <v>9300</v>
      </c>
      <c r="D15" s="16">
        <v>9301</v>
      </c>
      <c r="E15" s="17">
        <v>0</v>
      </c>
      <c r="F15" s="17">
        <v>0</v>
      </c>
      <c r="G15" s="121" t="s">
        <v>174</v>
      </c>
      <c r="H15" s="166">
        <f>H16+H18</f>
        <v>10000000</v>
      </c>
    </row>
    <row r="16" spans="1:8" ht="24.95" customHeight="1" x14ac:dyDescent="0.25">
      <c r="A16" s="344"/>
      <c r="B16" s="345"/>
      <c r="C16" s="346"/>
      <c r="D16" s="346"/>
      <c r="E16" s="347"/>
      <c r="F16" s="347"/>
      <c r="G16" s="186" t="s">
        <v>163</v>
      </c>
      <c r="H16" s="348">
        <f>H17</f>
        <v>10000000</v>
      </c>
    </row>
    <row r="17" spans="1:9" s="150" customFormat="1" ht="47.25" customHeight="1" x14ac:dyDescent="0.25">
      <c r="A17" s="169"/>
      <c r="B17" s="170"/>
      <c r="C17" s="171"/>
      <c r="D17" s="171"/>
      <c r="E17" s="172"/>
      <c r="F17" s="172"/>
      <c r="G17" s="349" t="str">
        <f>'Vị trí 1'!B10</f>
        <v>Tạm ứng lần 1 theo HĐ số…..</v>
      </c>
      <c r="H17" s="173">
        <f>'Vị trí 1'!H10</f>
        <v>10000000</v>
      </c>
    </row>
    <row r="18" spans="1:9" s="150" customFormat="1" ht="24.95" customHeight="1" x14ac:dyDescent="0.25">
      <c r="A18" s="169"/>
      <c r="B18" s="170"/>
      <c r="C18" s="171"/>
      <c r="D18" s="171"/>
      <c r="E18" s="172"/>
      <c r="F18" s="172"/>
      <c r="G18" s="186" t="s">
        <v>176</v>
      </c>
      <c r="H18" s="348">
        <f>H19</f>
        <v>0</v>
      </c>
    </row>
    <row r="19" spans="1:9" s="150" customFormat="1" ht="47.25" customHeight="1" x14ac:dyDescent="0.25">
      <c r="A19" s="169"/>
      <c r="B19" s="170"/>
      <c r="C19" s="171"/>
      <c r="D19" s="171"/>
      <c r="E19" s="172"/>
      <c r="F19" s="172"/>
      <c r="G19" s="174" t="s">
        <v>175</v>
      </c>
      <c r="H19" s="173"/>
    </row>
    <row r="20" spans="1:9" s="150" customFormat="1" ht="24.95" customHeight="1" x14ac:dyDescent="0.25">
      <c r="A20" s="169"/>
      <c r="B20" s="170"/>
      <c r="C20" s="171"/>
      <c r="D20" s="171"/>
      <c r="E20" s="172"/>
      <c r="F20" s="172"/>
      <c r="G20" s="174"/>
      <c r="H20" s="173"/>
    </row>
    <row r="21" spans="1:9" s="150" customFormat="1" ht="24.95" customHeight="1" x14ac:dyDescent="0.25">
      <c r="A21" s="169"/>
      <c r="B21" s="170"/>
      <c r="C21" s="171"/>
      <c r="D21" s="171"/>
      <c r="E21" s="172"/>
      <c r="F21" s="172"/>
      <c r="G21" s="174"/>
      <c r="H21" s="173"/>
    </row>
    <row r="22" spans="1:9" s="150" customFormat="1" ht="24.95" customHeight="1" x14ac:dyDescent="0.25">
      <c r="A22" s="169"/>
      <c r="B22" s="170"/>
      <c r="C22" s="171"/>
      <c r="D22" s="171"/>
      <c r="E22" s="172"/>
      <c r="F22" s="172"/>
      <c r="G22" s="174"/>
      <c r="H22" s="173"/>
    </row>
    <row r="23" spans="1:9" s="150" customFormat="1" ht="24.95" customHeight="1" x14ac:dyDescent="0.25">
      <c r="A23" s="169"/>
      <c r="B23" s="170"/>
      <c r="C23" s="171"/>
      <c r="D23" s="171"/>
      <c r="E23" s="172"/>
      <c r="F23" s="172"/>
      <c r="G23" s="174"/>
      <c r="H23" s="173"/>
    </row>
    <row r="24" spans="1:9" ht="30.75" customHeight="1" x14ac:dyDescent="0.25">
      <c r="A24" s="11"/>
      <c r="B24" s="11"/>
      <c r="C24" s="11"/>
      <c r="D24" s="11"/>
      <c r="E24" s="11"/>
      <c r="F24" s="11"/>
      <c r="G24" s="185" t="s">
        <v>42</v>
      </c>
      <c r="H24" s="167">
        <f>H15</f>
        <v>10000000</v>
      </c>
    </row>
    <row r="25" spans="1:9" ht="29.25" customHeight="1" x14ac:dyDescent="0.25">
      <c r="A25" s="241" t="s">
        <v>139</v>
      </c>
      <c r="B25" s="241"/>
      <c r="C25" s="152" t="str">
        <f>[3]!VND('Thông tri'!$H$24,"Uni",TRUE,TRUE,FALSE)</f>
        <v>Mười triệu đồng.</v>
      </c>
      <c r="D25" s="151"/>
      <c r="E25" s="151"/>
      <c r="F25" s="151"/>
      <c r="G25" s="151"/>
      <c r="H25" s="151"/>
      <c r="I25" s="168"/>
    </row>
    <row r="26" spans="1:9" ht="20.25" customHeight="1" x14ac:dyDescent="0.25">
      <c r="A26" s="5"/>
      <c r="B26" s="5"/>
      <c r="C26" s="5"/>
      <c r="D26" s="5"/>
      <c r="E26" s="5"/>
      <c r="F26" s="12"/>
      <c r="G26" s="226"/>
      <c r="H26" s="226"/>
    </row>
    <row r="27" spans="1:9" ht="21" customHeight="1" x14ac:dyDescent="0.25">
      <c r="A27" s="227"/>
      <c r="B27" s="227"/>
      <c r="C27" s="227"/>
      <c r="D27" s="227"/>
      <c r="E27" s="227"/>
      <c r="F27" s="227"/>
      <c r="G27" s="227"/>
      <c r="H27" s="227"/>
    </row>
    <row r="28" spans="1:9" ht="16.5" x14ac:dyDescent="0.25">
      <c r="A28" s="5"/>
      <c r="B28" s="5"/>
      <c r="C28" s="5"/>
      <c r="D28" s="5"/>
      <c r="E28" s="5"/>
      <c r="F28" s="5"/>
      <c r="G28" s="227"/>
      <c r="H28" s="227"/>
    </row>
    <row r="29" spans="1:9" ht="16.5" x14ac:dyDescent="0.25">
      <c r="A29" s="5"/>
      <c r="B29" s="5"/>
      <c r="C29" s="5"/>
      <c r="D29" s="5"/>
      <c r="E29" s="5"/>
      <c r="F29" s="5"/>
      <c r="G29" s="183"/>
      <c r="H29" s="183"/>
    </row>
    <row r="30" spans="1:9" ht="16.5" x14ac:dyDescent="0.25">
      <c r="A30" s="5"/>
      <c r="B30" s="5"/>
      <c r="C30" s="5"/>
      <c r="D30" s="5"/>
      <c r="E30" s="5"/>
      <c r="F30" s="5"/>
      <c r="G30" s="5"/>
      <c r="H30" s="5"/>
    </row>
    <row r="31" spans="1:9" ht="16.5" x14ac:dyDescent="0.25">
      <c r="A31" s="4"/>
      <c r="B31" s="4"/>
      <c r="C31" s="4"/>
      <c r="D31" s="4"/>
      <c r="E31" s="4"/>
      <c r="F31" s="4"/>
      <c r="G31" s="4"/>
      <c r="H31" s="4"/>
    </row>
    <row r="32" spans="1:9" ht="17.25" x14ac:dyDescent="0.25">
      <c r="A32" s="228"/>
      <c r="B32" s="228"/>
      <c r="C32" s="228"/>
      <c r="D32" s="228"/>
      <c r="E32" s="228"/>
      <c r="F32" s="228"/>
      <c r="G32" s="228"/>
      <c r="H32" s="228"/>
    </row>
    <row r="33" spans="1:8" ht="17.25" x14ac:dyDescent="0.25">
      <c r="A33" s="184"/>
      <c r="B33" s="184"/>
      <c r="C33" s="184"/>
      <c r="D33" s="184"/>
      <c r="E33" s="184"/>
      <c r="F33" s="184"/>
      <c r="G33" s="184"/>
      <c r="H33" s="184"/>
    </row>
  </sheetData>
  <mergeCells count="26">
    <mergeCell ref="A32:F32"/>
    <mergeCell ref="G32:H32"/>
    <mergeCell ref="A25:B25"/>
    <mergeCell ref="G26:H26"/>
    <mergeCell ref="A27:F27"/>
    <mergeCell ref="G27:H27"/>
    <mergeCell ref="G28:H28"/>
    <mergeCell ref="A9:F9"/>
    <mergeCell ref="G9:H9"/>
    <mergeCell ref="G11:H11"/>
    <mergeCell ref="A12:A13"/>
    <mergeCell ref="B12:F12"/>
    <mergeCell ref="G12:G13"/>
    <mergeCell ref="H12:H13"/>
    <mergeCell ref="A4:H4"/>
    <mergeCell ref="A5:H5"/>
    <mergeCell ref="A6:H6"/>
    <mergeCell ref="A7:H7"/>
    <mergeCell ref="A8:B8"/>
    <mergeCell ref="G8:H8"/>
    <mergeCell ref="A1:F1"/>
    <mergeCell ref="G1:H1"/>
    <mergeCell ref="A2:F2"/>
    <mergeCell ref="G2:H2"/>
    <mergeCell ref="A3:F3"/>
    <mergeCell ref="G3:H3"/>
  </mergeCells>
  <printOptions horizontalCentered="1"/>
  <pageMargins left="0.45" right="0" top="0.5" bottom="0.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53CD-1415-4386-A87A-6D2B1FE6EB75}">
  <dimension ref="A1:H34"/>
  <sheetViews>
    <sheetView workbookViewId="0">
      <selection activeCell="K28" sqref="K28"/>
    </sheetView>
  </sheetViews>
  <sheetFormatPr defaultRowHeight="15" x14ac:dyDescent="0.25"/>
  <cols>
    <col min="2" max="2" width="23.7109375" customWidth="1"/>
    <col min="3" max="3" width="19.42578125" customWidth="1"/>
    <col min="4" max="4" width="20.140625" customWidth="1"/>
    <col min="5" max="5" width="18.5703125" customWidth="1"/>
  </cols>
  <sheetData>
    <row r="1" spans="1:5" ht="18.75" customHeight="1" x14ac:dyDescent="0.25">
      <c r="A1" s="247" t="s">
        <v>77</v>
      </c>
      <c r="B1" s="247"/>
      <c r="C1" s="247"/>
      <c r="D1" s="247"/>
      <c r="E1" s="247"/>
    </row>
    <row r="2" spans="1:5" ht="16.5" x14ac:dyDescent="0.25">
      <c r="A2" s="47"/>
      <c r="B2" s="47"/>
      <c r="C2" s="48"/>
      <c r="D2" s="47"/>
      <c r="E2" s="47"/>
    </row>
    <row r="3" spans="1:5" s="10" customFormat="1" ht="24.95" customHeight="1" x14ac:dyDescent="0.25">
      <c r="A3" s="100" t="s">
        <v>78</v>
      </c>
      <c r="B3" s="100"/>
      <c r="C3" s="101"/>
      <c r="D3" s="100" t="s">
        <v>182</v>
      </c>
      <c r="E3" s="52"/>
    </row>
    <row r="4" spans="1:5" s="10" customFormat="1" ht="24.95" customHeight="1" x14ac:dyDescent="0.25">
      <c r="A4" s="100" t="s">
        <v>183</v>
      </c>
      <c r="B4" s="100"/>
      <c r="C4" s="102" t="s">
        <v>67</v>
      </c>
      <c r="D4" s="102" t="s">
        <v>79</v>
      </c>
      <c r="E4" s="100" t="s">
        <v>80</v>
      </c>
    </row>
    <row r="5" spans="1:5" ht="18.75" customHeight="1" x14ac:dyDescent="0.25">
      <c r="A5" s="47"/>
      <c r="B5" s="47"/>
      <c r="C5" s="48"/>
      <c r="D5" s="47"/>
      <c r="E5" s="155" t="s">
        <v>81</v>
      </c>
    </row>
    <row r="6" spans="1:5" ht="24.95" customHeight="1" x14ac:dyDescent="0.25">
      <c r="A6" s="248" t="s">
        <v>1</v>
      </c>
      <c r="B6" s="249"/>
      <c r="C6" s="45" t="s">
        <v>82</v>
      </c>
      <c r="D6" s="45" t="s">
        <v>83</v>
      </c>
      <c r="E6" s="45" t="s">
        <v>84</v>
      </c>
    </row>
    <row r="7" spans="1:5" ht="24.95" customHeight="1" x14ac:dyDescent="0.25">
      <c r="A7" s="250" t="s">
        <v>85</v>
      </c>
      <c r="B7" s="251"/>
      <c r="C7" s="49">
        <f>'Vị trí 1'!H10</f>
        <v>10000000</v>
      </c>
      <c r="D7" s="50">
        <f>C7</f>
        <v>10000000</v>
      </c>
      <c r="E7" s="51"/>
    </row>
    <row r="8" spans="1:5" ht="24.95" customHeight="1" x14ac:dyDescent="0.25">
      <c r="A8" s="53" t="s">
        <v>86</v>
      </c>
      <c r="B8" s="53"/>
      <c r="C8" s="54"/>
      <c r="D8" s="54"/>
      <c r="E8" s="55"/>
    </row>
    <row r="9" spans="1:5" ht="24.95" customHeight="1" x14ac:dyDescent="0.25">
      <c r="A9" s="53" t="s">
        <v>86</v>
      </c>
      <c r="B9" s="53"/>
      <c r="C9" s="54"/>
      <c r="D9" s="54"/>
      <c r="E9" s="55"/>
    </row>
    <row r="10" spans="1:5" ht="24.95" customHeight="1" x14ac:dyDescent="0.25">
      <c r="A10" s="53" t="s">
        <v>86</v>
      </c>
      <c r="B10" s="53"/>
      <c r="C10" s="54"/>
      <c r="D10" s="56"/>
      <c r="E10" s="55"/>
    </row>
    <row r="11" spans="1:5" ht="24.95" customHeight="1" x14ac:dyDescent="0.25">
      <c r="A11" s="53" t="s">
        <v>86</v>
      </c>
      <c r="B11" s="53"/>
      <c r="C11" s="54"/>
      <c r="D11" s="56"/>
      <c r="E11" s="55"/>
    </row>
    <row r="12" spans="1:5" ht="24.95" customHeight="1" x14ac:dyDescent="0.25">
      <c r="A12" s="57" t="s">
        <v>87</v>
      </c>
      <c r="B12" s="57"/>
      <c r="C12" s="54"/>
      <c r="D12" s="54"/>
      <c r="E12" s="55"/>
    </row>
    <row r="13" spans="1:5" ht="24.95" customHeight="1" x14ac:dyDescent="0.25">
      <c r="A13" s="53" t="s">
        <v>88</v>
      </c>
      <c r="B13" s="53"/>
      <c r="C13" s="54">
        <f>'Vị trí 1'!J10</f>
        <v>0</v>
      </c>
      <c r="D13" s="54">
        <f>C13</f>
        <v>0</v>
      </c>
      <c r="E13" s="55"/>
    </row>
    <row r="14" spans="1:5" ht="24.95" customHeight="1" x14ac:dyDescent="0.25">
      <c r="A14" s="53" t="s">
        <v>89</v>
      </c>
      <c r="B14" s="53"/>
      <c r="C14" s="54"/>
      <c r="D14" s="54"/>
      <c r="E14" s="55"/>
    </row>
    <row r="15" spans="1:5" ht="24.95" customHeight="1" x14ac:dyDescent="0.25">
      <c r="A15" s="53" t="s">
        <v>90</v>
      </c>
      <c r="B15" s="53"/>
      <c r="C15" s="54"/>
      <c r="D15" s="54"/>
      <c r="E15" s="55"/>
    </row>
    <row r="16" spans="1:5" ht="24.95" customHeight="1" x14ac:dyDescent="0.25">
      <c r="A16" s="53" t="s">
        <v>91</v>
      </c>
      <c r="B16" s="53"/>
      <c r="C16" s="54"/>
      <c r="D16" s="54"/>
      <c r="E16" s="58"/>
    </row>
    <row r="17" spans="1:8" ht="24.95" customHeight="1" x14ac:dyDescent="0.25">
      <c r="A17" s="59" t="s">
        <v>92</v>
      </c>
      <c r="B17" s="59"/>
      <c r="C17" s="60">
        <f>C7-C13</f>
        <v>10000000</v>
      </c>
      <c r="D17" s="60">
        <f>C17</f>
        <v>10000000</v>
      </c>
      <c r="E17" s="61"/>
    </row>
    <row r="18" spans="1:8" ht="35.25" customHeight="1" x14ac:dyDescent="0.25">
      <c r="A18" s="135" t="str">
        <f>[3]!VND('KS chi'!$D$17,"Uni",TRUE,TRUE,FALSE)</f>
        <v>Mười triệu đồng.</v>
      </c>
      <c r="B18" s="136"/>
      <c r="C18" s="133"/>
      <c r="D18" s="133"/>
      <c r="E18" s="134"/>
    </row>
    <row r="19" spans="1:8" ht="24.95" customHeight="1" x14ac:dyDescent="0.25">
      <c r="A19" s="103" t="s">
        <v>93</v>
      </c>
      <c r="B19" s="103"/>
      <c r="C19" s="104">
        <v>0</v>
      </c>
      <c r="D19" s="103" t="s">
        <v>94</v>
      </c>
      <c r="E19" s="105"/>
    </row>
    <row r="20" spans="1:8" ht="24.95" customHeight="1" x14ac:dyDescent="0.25">
      <c r="A20" s="255" t="s">
        <v>95</v>
      </c>
      <c r="B20" s="256"/>
      <c r="C20" s="256"/>
      <c r="D20" s="256"/>
      <c r="E20" s="257"/>
    </row>
    <row r="21" spans="1:8" ht="6.75" customHeight="1" x14ac:dyDescent="0.25">
      <c r="A21" s="188"/>
      <c r="B21" s="189"/>
      <c r="C21" s="190"/>
      <c r="D21" s="190"/>
      <c r="E21" s="191"/>
    </row>
    <row r="22" spans="1:8" ht="47.25" customHeight="1" x14ac:dyDescent="0.25">
      <c r="A22" s="137" t="s">
        <v>156</v>
      </c>
      <c r="B22" s="252" t="str">
        <f>'Thông tri'!G17</f>
        <v>Tạm ứng lần 1 theo HĐ số…..</v>
      </c>
      <c r="C22" s="252"/>
      <c r="D22" s="252"/>
      <c r="E22" s="253"/>
    </row>
    <row r="23" spans="1:8" ht="13.5" customHeight="1" x14ac:dyDescent="0.25">
      <c r="A23" s="47" t="s">
        <v>96</v>
      </c>
      <c r="B23" s="47"/>
      <c r="C23" s="48"/>
      <c r="D23" s="258"/>
      <c r="E23" s="258"/>
      <c r="H23" t="s">
        <v>96</v>
      </c>
    </row>
    <row r="24" spans="1:8" ht="16.5" x14ac:dyDescent="0.25">
      <c r="A24" s="187"/>
      <c r="B24" s="187"/>
      <c r="C24" s="62"/>
      <c r="D24" s="247"/>
      <c r="E24" s="247"/>
    </row>
    <row r="25" spans="1:8" ht="16.5" x14ac:dyDescent="0.25">
      <c r="A25" s="192"/>
      <c r="B25" s="192"/>
      <c r="C25" s="48"/>
      <c r="D25" s="63"/>
      <c r="E25" s="63"/>
    </row>
    <row r="26" spans="1:8" ht="16.5" x14ac:dyDescent="0.25">
      <c r="A26" s="192"/>
      <c r="B26" s="192"/>
      <c r="C26" s="48"/>
      <c r="D26" s="63"/>
      <c r="E26" s="63"/>
    </row>
    <row r="27" spans="1:8" ht="16.5" x14ac:dyDescent="0.25">
      <c r="A27" s="192"/>
      <c r="B27" s="192"/>
      <c r="C27" s="48"/>
      <c r="D27" s="63"/>
      <c r="E27" s="63"/>
    </row>
    <row r="28" spans="1:8" ht="16.5" x14ac:dyDescent="0.25">
      <c r="A28" s="192"/>
      <c r="B28" s="192"/>
      <c r="C28" s="48"/>
      <c r="D28" s="47"/>
      <c r="E28" s="47"/>
    </row>
    <row r="29" spans="1:8" ht="16.5" x14ac:dyDescent="0.25">
      <c r="A29" s="192"/>
      <c r="B29" s="192"/>
      <c r="C29" s="48"/>
      <c r="D29" s="47"/>
      <c r="E29" s="47"/>
    </row>
    <row r="30" spans="1:8" ht="16.5" x14ac:dyDescent="0.25">
      <c r="A30" s="187"/>
      <c r="B30" s="187"/>
      <c r="C30" s="62"/>
      <c r="D30" s="247"/>
      <c r="E30" s="247"/>
    </row>
    <row r="31" spans="1:8" ht="16.5" x14ac:dyDescent="0.25">
      <c r="A31" s="47"/>
      <c r="B31" s="47"/>
      <c r="C31" s="48"/>
      <c r="D31" s="47"/>
      <c r="E31" s="47"/>
    </row>
    <row r="32" spans="1:8" ht="16.5" x14ac:dyDescent="0.25">
      <c r="A32" s="47"/>
      <c r="B32" s="47"/>
      <c r="C32" s="48"/>
      <c r="D32" s="47"/>
      <c r="E32" s="47"/>
    </row>
    <row r="33" spans="1:5" ht="16.5" x14ac:dyDescent="0.25">
      <c r="A33" s="47"/>
      <c r="B33" s="47"/>
      <c r="C33" s="48"/>
      <c r="D33" s="47"/>
      <c r="E33" s="47"/>
    </row>
    <row r="34" spans="1:5" ht="16.5" x14ac:dyDescent="0.25">
      <c r="A34" s="47"/>
      <c r="B34" s="47"/>
      <c r="C34" s="48"/>
      <c r="D34" s="47"/>
      <c r="E34" s="47"/>
    </row>
  </sheetData>
  <mergeCells count="8">
    <mergeCell ref="D24:E24"/>
    <mergeCell ref="D30:E30"/>
    <mergeCell ref="A1:E1"/>
    <mergeCell ref="A6:B6"/>
    <mergeCell ref="A7:B7"/>
    <mergeCell ref="A20:E20"/>
    <mergeCell ref="B22:E22"/>
    <mergeCell ref="D23:E23"/>
  </mergeCells>
  <printOptions horizontalCentered="1"/>
  <pageMargins left="0.45" right="0" top="0.5" bottom="0.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6"/>
  <sheetViews>
    <sheetView workbookViewId="0">
      <selection activeCell="M19" sqref="M19"/>
    </sheetView>
  </sheetViews>
  <sheetFormatPr defaultRowHeight="15" x14ac:dyDescent="0.25"/>
  <cols>
    <col min="1" max="1" width="13" customWidth="1"/>
    <col min="2" max="2" width="11.28515625" customWidth="1"/>
    <col min="8" max="8" width="0.85546875" customWidth="1"/>
    <col min="9" max="9" width="18.5703125" customWidth="1"/>
    <col min="13" max="13" width="18.140625" customWidth="1"/>
  </cols>
  <sheetData>
    <row r="1" spans="1:13" s="82" customFormat="1" ht="16.5" x14ac:dyDescent="0.2">
      <c r="A1" s="281" t="s">
        <v>178</v>
      </c>
      <c r="B1" s="281"/>
      <c r="C1" s="281"/>
      <c r="D1" s="282" t="s">
        <v>112</v>
      </c>
      <c r="E1" s="282"/>
      <c r="F1" s="282"/>
      <c r="G1" s="282"/>
      <c r="H1" s="282"/>
      <c r="I1" s="282"/>
    </row>
    <row r="2" spans="1:13" s="82" customFormat="1" ht="16.5" x14ac:dyDescent="0.25">
      <c r="A2" s="282" t="s">
        <v>193</v>
      </c>
      <c r="B2" s="282"/>
      <c r="C2" s="282"/>
      <c r="D2" s="283" t="s">
        <v>113</v>
      </c>
      <c r="E2" s="247"/>
      <c r="F2" s="247"/>
      <c r="G2" s="247"/>
      <c r="H2" s="247"/>
      <c r="I2" s="247"/>
    </row>
    <row r="3" spans="1:13" s="82" customFormat="1" ht="20.25" customHeight="1" x14ac:dyDescent="0.25">
      <c r="A3" s="284" t="s">
        <v>194</v>
      </c>
      <c r="B3" s="284"/>
      <c r="C3" s="284"/>
      <c r="D3" s="254" t="s">
        <v>195</v>
      </c>
      <c r="E3" s="254"/>
      <c r="F3" s="254"/>
      <c r="G3" s="254"/>
      <c r="H3" s="254"/>
      <c r="I3" s="254"/>
    </row>
    <row r="4" spans="1:13" s="82" customFormat="1" ht="37.5" customHeight="1" x14ac:dyDescent="0.2">
      <c r="A4" s="285" t="s">
        <v>114</v>
      </c>
      <c r="B4" s="285"/>
      <c r="C4" s="285"/>
      <c r="D4" s="285"/>
      <c r="E4" s="285"/>
      <c r="F4" s="285"/>
      <c r="G4" s="285"/>
      <c r="H4" s="285"/>
      <c r="I4" s="285"/>
    </row>
    <row r="5" spans="1:13" s="82" customFormat="1" ht="8.25" customHeight="1" x14ac:dyDescent="0.25">
      <c r="A5" s="84"/>
      <c r="B5" s="84"/>
      <c r="C5" s="84"/>
      <c r="D5" s="84"/>
      <c r="E5" s="84"/>
      <c r="F5" s="84"/>
      <c r="G5" s="85"/>
      <c r="H5" s="85"/>
      <c r="I5" s="46"/>
    </row>
    <row r="6" spans="1:13" s="82" customFormat="1" ht="18.75" x14ac:dyDescent="0.3">
      <c r="A6" s="279" t="s">
        <v>196</v>
      </c>
      <c r="B6" s="279"/>
      <c r="C6" s="279"/>
      <c r="D6" s="279"/>
      <c r="E6" s="279"/>
      <c r="F6" s="279"/>
      <c r="G6" s="279"/>
      <c r="H6" s="279"/>
      <c r="I6" s="279"/>
    </row>
    <row r="7" spans="1:13" s="82" customFormat="1" ht="7.5" customHeight="1" x14ac:dyDescent="0.2">
      <c r="G7" s="83"/>
      <c r="H7" s="83"/>
    </row>
    <row r="8" spans="1:13" s="82" customFormat="1" ht="18" customHeight="1" x14ac:dyDescent="0.2">
      <c r="A8" s="86" t="s">
        <v>115</v>
      </c>
      <c r="B8" s="86"/>
      <c r="C8" s="414" t="s">
        <v>197</v>
      </c>
      <c r="D8" s="413"/>
      <c r="E8" s="413"/>
      <c r="F8" s="413"/>
      <c r="G8" s="413"/>
      <c r="H8" s="413"/>
      <c r="I8" s="413"/>
    </row>
    <row r="9" spans="1:13" s="82" customFormat="1" ht="18" customHeight="1" x14ac:dyDescent="0.25">
      <c r="A9" s="52" t="s">
        <v>198</v>
      </c>
      <c r="B9" s="52"/>
      <c r="C9" s="47"/>
      <c r="D9" s="47"/>
      <c r="E9" s="47"/>
      <c r="F9" s="47"/>
      <c r="G9" s="87"/>
      <c r="H9" s="87"/>
      <c r="I9" s="47"/>
    </row>
    <row r="10" spans="1:13" s="82" customFormat="1" ht="33.75" customHeight="1" x14ac:dyDescent="0.2">
      <c r="A10" s="280" t="s">
        <v>199</v>
      </c>
      <c r="B10" s="280"/>
      <c r="C10" s="280"/>
      <c r="D10" s="280"/>
      <c r="E10" s="280"/>
      <c r="F10" s="280"/>
      <c r="G10" s="280"/>
      <c r="H10" s="280"/>
      <c r="I10" s="280"/>
    </row>
    <row r="11" spans="1:13" s="82" customFormat="1" ht="24" customHeight="1" x14ac:dyDescent="0.2">
      <c r="A11" s="280" t="s">
        <v>200</v>
      </c>
      <c r="B11" s="280"/>
      <c r="C11" s="280"/>
      <c r="D11" s="280"/>
      <c r="E11" s="280"/>
      <c r="F11" s="280"/>
      <c r="G11" s="280"/>
      <c r="H11" s="280"/>
      <c r="I11" s="280"/>
    </row>
    <row r="12" spans="1:13" s="82" customFormat="1" ht="33" customHeight="1" x14ac:dyDescent="0.2">
      <c r="A12" s="280" t="s">
        <v>201</v>
      </c>
      <c r="B12" s="280"/>
      <c r="C12" s="280"/>
      <c r="D12" s="280"/>
      <c r="E12" s="280"/>
      <c r="F12" s="280"/>
      <c r="G12" s="280"/>
      <c r="H12" s="280"/>
      <c r="I12" s="280"/>
      <c r="M12" s="132"/>
    </row>
    <row r="13" spans="1:13" s="82" customFormat="1" ht="18" customHeight="1" x14ac:dyDescent="0.2">
      <c r="A13" s="86" t="s">
        <v>144</v>
      </c>
      <c r="B13" s="86"/>
      <c r="C13" s="52"/>
      <c r="D13" s="52"/>
      <c r="E13" s="52"/>
      <c r="F13" s="52"/>
      <c r="G13" s="89"/>
      <c r="H13" s="415" t="s">
        <v>202</v>
      </c>
      <c r="I13" s="415"/>
      <c r="J13" s="416"/>
      <c r="M13" s="82" t="s">
        <v>203</v>
      </c>
    </row>
    <row r="14" spans="1:13" s="82" customFormat="1" ht="18" customHeight="1" x14ac:dyDescent="0.2">
      <c r="A14" s="86" t="s">
        <v>120</v>
      </c>
      <c r="B14" s="86"/>
      <c r="C14" s="95" t="s">
        <v>121</v>
      </c>
      <c r="D14" s="95" t="s">
        <v>79</v>
      </c>
      <c r="E14" s="274" t="s">
        <v>122</v>
      </c>
      <c r="F14" s="275"/>
      <c r="G14" s="275"/>
      <c r="I14" s="94"/>
    </row>
    <row r="15" spans="1:13" s="88" customFormat="1" ht="18" customHeight="1" x14ac:dyDescent="0.25">
      <c r="A15" s="86" t="s">
        <v>152</v>
      </c>
      <c r="B15" s="86"/>
      <c r="C15" s="52" t="s">
        <v>109</v>
      </c>
      <c r="D15" s="52"/>
      <c r="E15" s="52"/>
      <c r="F15" s="52"/>
      <c r="G15" s="89"/>
      <c r="H15" s="273"/>
      <c r="I15" s="273"/>
    </row>
    <row r="16" spans="1:13" s="88" customFormat="1" ht="18" customHeight="1" x14ac:dyDescent="0.25">
      <c r="A16" s="90" t="s">
        <v>145</v>
      </c>
      <c r="B16" s="90"/>
      <c r="C16" s="276"/>
      <c r="D16" s="276"/>
      <c r="E16" s="47"/>
      <c r="F16" s="47"/>
      <c r="G16" s="87"/>
      <c r="H16" s="87"/>
      <c r="I16" s="91"/>
    </row>
    <row r="17" spans="1:9" s="82" customFormat="1" ht="53.25" customHeight="1" x14ac:dyDescent="0.2">
      <c r="A17" s="266" t="s">
        <v>4</v>
      </c>
      <c r="B17" s="267"/>
      <c r="C17" s="268"/>
      <c r="D17" s="277" t="s">
        <v>116</v>
      </c>
      <c r="E17" s="278"/>
      <c r="F17" s="277" t="s">
        <v>117</v>
      </c>
      <c r="G17" s="278"/>
      <c r="H17" s="277" t="s">
        <v>118</v>
      </c>
      <c r="I17" s="278"/>
    </row>
    <row r="18" spans="1:9" s="82" customFormat="1" ht="81.75" customHeight="1" x14ac:dyDescent="0.2">
      <c r="A18" s="286" t="str">
        <f>'Vị trí 1'!B12</f>
        <v>Tạm ứng lần 2 theo HĐ số…..</v>
      </c>
      <c r="B18" s="287" t="s">
        <v>158</v>
      </c>
      <c r="C18" s="288" t="s">
        <v>158</v>
      </c>
      <c r="D18" s="264">
        <f>'Vị trí 1'!E9</f>
        <v>50000000000</v>
      </c>
      <c r="E18" s="265"/>
      <c r="F18" s="264">
        <f>'Vị trí 1'!I7</f>
        <v>200000000</v>
      </c>
      <c r="G18" s="265"/>
      <c r="H18" s="264">
        <f>'Vị trí 1'!I11</f>
        <v>200000000</v>
      </c>
      <c r="I18" s="265"/>
    </row>
    <row r="19" spans="1:9" s="82" customFormat="1" ht="22.5" customHeight="1" x14ac:dyDescent="0.2">
      <c r="A19" s="266" t="s">
        <v>119</v>
      </c>
      <c r="B19" s="267"/>
      <c r="C19" s="268"/>
      <c r="D19" s="269">
        <f>D18</f>
        <v>50000000000</v>
      </c>
      <c r="E19" s="270"/>
      <c r="F19" s="271">
        <f>F18</f>
        <v>200000000</v>
      </c>
      <c r="G19" s="272"/>
      <c r="H19" s="92"/>
      <c r="I19" s="93">
        <f>H18</f>
        <v>200000000</v>
      </c>
    </row>
    <row r="20" spans="1:9" s="82" customFormat="1" ht="19.5" customHeight="1" x14ac:dyDescent="0.2">
      <c r="A20" s="86" t="s">
        <v>146</v>
      </c>
      <c r="B20" s="124"/>
      <c r="C20" s="124"/>
      <c r="D20" s="125"/>
      <c r="E20" s="125"/>
      <c r="F20" s="126"/>
      <c r="G20" s="126"/>
      <c r="H20" s="123"/>
      <c r="I20" s="123">
        <f>I19</f>
        <v>200000000</v>
      </c>
    </row>
    <row r="21" spans="1:9" s="82" customFormat="1" ht="23.25" customHeight="1" x14ac:dyDescent="0.2">
      <c r="A21" s="86" t="s">
        <v>155</v>
      </c>
      <c r="B21" s="154" t="str">
        <f>[3]!VND(GĐNTT!$I$20,"Uni",TRUE,TRUE,FALSE)</f>
        <v>Hai trăm triệu đồng.</v>
      </c>
      <c r="C21" s="153"/>
      <c r="D21" s="153"/>
      <c r="E21" s="153"/>
      <c r="F21" s="153"/>
      <c r="G21" s="153"/>
      <c r="H21" s="153"/>
      <c r="I21" s="153"/>
    </row>
    <row r="22" spans="1:9" s="82" customFormat="1" ht="18" customHeight="1" x14ac:dyDescent="0.2">
      <c r="A22" s="52" t="s">
        <v>87</v>
      </c>
      <c r="B22" s="86"/>
      <c r="C22" s="165"/>
      <c r="D22" s="165"/>
      <c r="E22" s="165"/>
      <c r="F22" s="165"/>
      <c r="G22" s="165"/>
      <c r="H22" s="165"/>
      <c r="I22" s="165"/>
    </row>
    <row r="23" spans="1:9" s="82" customFormat="1" ht="18" customHeight="1" x14ac:dyDescent="0.2">
      <c r="B23" s="127" t="s">
        <v>147</v>
      </c>
      <c r="D23" s="128"/>
      <c r="E23" s="128"/>
      <c r="F23" s="128"/>
      <c r="G23" s="128"/>
      <c r="H23" s="260"/>
      <c r="I23" s="260"/>
    </row>
    <row r="24" spans="1:9" s="82" customFormat="1" ht="18" customHeight="1" x14ac:dyDescent="0.2">
      <c r="B24" s="129" t="s">
        <v>148</v>
      </c>
      <c r="D24" s="130"/>
      <c r="E24" s="130"/>
      <c r="F24" s="130"/>
      <c r="G24" s="130"/>
      <c r="H24" s="261"/>
      <c r="I24" s="261"/>
    </row>
    <row r="25" spans="1:9" s="82" customFormat="1" ht="18" customHeight="1" x14ac:dyDescent="0.2">
      <c r="B25" s="129" t="s">
        <v>149</v>
      </c>
      <c r="D25" s="130"/>
      <c r="E25" s="130"/>
      <c r="F25" s="130"/>
      <c r="G25" s="130"/>
      <c r="H25" s="163"/>
      <c r="I25" s="163"/>
    </row>
    <row r="26" spans="1:9" s="82" customFormat="1" ht="18" customHeight="1" x14ac:dyDescent="0.2">
      <c r="B26" s="131" t="s">
        <v>150</v>
      </c>
      <c r="D26" s="130"/>
      <c r="E26" s="130"/>
      <c r="F26" s="130"/>
      <c r="G26" s="130"/>
      <c r="H26" s="163"/>
      <c r="I26" s="163">
        <f>I20</f>
        <v>200000000</v>
      </c>
    </row>
    <row r="27" spans="1:9" s="82" customFormat="1" ht="18" customHeight="1" x14ac:dyDescent="0.2">
      <c r="A27" s="86" t="s">
        <v>123</v>
      </c>
      <c r="B27" s="86"/>
      <c r="C27" s="417" t="str">
        <f>'Vị trí 1'!C9</f>
        <v>Cty XL A</v>
      </c>
      <c r="D27" s="262"/>
      <c r="E27" s="262"/>
      <c r="F27" s="262"/>
      <c r="G27" s="262"/>
      <c r="H27" s="262"/>
      <c r="I27" s="262"/>
    </row>
    <row r="28" spans="1:9" s="82" customFormat="1" ht="18" customHeight="1" x14ac:dyDescent="0.2">
      <c r="A28" s="86" t="s">
        <v>151</v>
      </c>
      <c r="B28" s="86"/>
      <c r="D28" s="420" t="s">
        <v>206</v>
      </c>
      <c r="E28" s="419"/>
      <c r="F28" s="419"/>
      <c r="G28" s="419"/>
      <c r="H28" s="419"/>
      <c r="I28" s="419"/>
    </row>
    <row r="29" spans="1:9" s="82" customFormat="1" ht="18" customHeight="1" x14ac:dyDescent="0.2">
      <c r="A29" s="90" t="s">
        <v>124</v>
      </c>
      <c r="B29" s="263" t="s">
        <v>207</v>
      </c>
      <c r="C29" s="263"/>
      <c r="D29" s="263"/>
      <c r="E29" s="263"/>
      <c r="F29" s="263"/>
      <c r="G29" s="263"/>
      <c r="H29" s="263"/>
      <c r="I29" s="263"/>
    </row>
    <row r="30" spans="1:9" s="82" customFormat="1" ht="18.75" x14ac:dyDescent="0.3">
      <c r="A30" s="259" t="s">
        <v>125</v>
      </c>
      <c r="B30" s="259"/>
      <c r="C30" s="259"/>
      <c r="D30" s="259"/>
      <c r="E30" s="259" t="s">
        <v>126</v>
      </c>
      <c r="F30" s="259"/>
      <c r="G30" s="259"/>
      <c r="H30" s="259"/>
      <c r="I30" s="259"/>
    </row>
    <row r="31" spans="1:9" s="82" customFormat="1" ht="18.75" x14ac:dyDescent="0.3">
      <c r="A31" s="259"/>
      <c r="B31" s="259"/>
      <c r="C31" s="259"/>
      <c r="D31" s="259"/>
      <c r="E31" s="259"/>
      <c r="F31" s="259"/>
      <c r="G31" s="259"/>
      <c r="H31" s="259"/>
      <c r="I31" s="259"/>
    </row>
    <row r="32" spans="1:9" s="82" customFormat="1" ht="18.75" x14ac:dyDescent="0.3">
      <c r="A32" s="259"/>
      <c r="B32" s="259"/>
      <c r="C32" s="259"/>
      <c r="D32" s="259"/>
      <c r="E32" s="259"/>
      <c r="F32" s="259"/>
      <c r="G32" s="259"/>
      <c r="H32" s="259"/>
      <c r="I32" s="259"/>
    </row>
    <row r="33" spans="1:9" s="82" customFormat="1" ht="18.75" x14ac:dyDescent="0.3">
      <c r="A33" s="259"/>
      <c r="B33" s="259"/>
      <c r="C33" s="259"/>
      <c r="D33" s="259"/>
      <c r="E33" s="259"/>
      <c r="F33" s="259"/>
      <c r="G33" s="259"/>
      <c r="H33" s="259"/>
      <c r="I33" s="259"/>
    </row>
    <row r="34" spans="1:9" s="82" customFormat="1" ht="18.75" x14ac:dyDescent="0.3">
      <c r="A34" s="164"/>
      <c r="B34" s="164"/>
      <c r="C34" s="164"/>
      <c r="D34" s="164"/>
      <c r="E34" s="164"/>
      <c r="F34" s="164"/>
      <c r="G34" s="164"/>
      <c r="H34" s="164"/>
      <c r="I34" s="164"/>
    </row>
    <row r="35" spans="1:9" s="82" customFormat="1" ht="14.25" customHeight="1" x14ac:dyDescent="0.3">
      <c r="A35" s="259"/>
      <c r="B35" s="259"/>
      <c r="C35" s="259"/>
      <c r="D35" s="259"/>
      <c r="E35" s="259"/>
      <c r="F35" s="259"/>
      <c r="G35" s="259"/>
      <c r="H35" s="259"/>
      <c r="I35" s="259"/>
    </row>
    <row r="36" spans="1:9" s="82" customFormat="1" ht="21.75" customHeight="1" x14ac:dyDescent="0.3">
      <c r="A36" s="259"/>
      <c r="B36" s="259"/>
      <c r="C36" s="259"/>
      <c r="D36" s="259"/>
      <c r="E36" s="259"/>
      <c r="F36" s="259"/>
      <c r="G36" s="259"/>
      <c r="H36" s="259"/>
      <c r="I36" s="259"/>
    </row>
  </sheetData>
  <mergeCells count="41">
    <mergeCell ref="B29:I29"/>
    <mergeCell ref="A30:D30"/>
    <mergeCell ref="E30:I30"/>
    <mergeCell ref="A31:D31"/>
    <mergeCell ref="E31:I31"/>
    <mergeCell ref="A17:C17"/>
    <mergeCell ref="D17:E17"/>
    <mergeCell ref="F17:G17"/>
    <mergeCell ref="H17:I17"/>
    <mergeCell ref="A18:C18"/>
    <mergeCell ref="D18:E18"/>
    <mergeCell ref="F18:G18"/>
    <mergeCell ref="H18:I18"/>
    <mergeCell ref="A19:C19"/>
    <mergeCell ref="D19:E19"/>
    <mergeCell ref="F19:G19"/>
    <mergeCell ref="H23:I23"/>
    <mergeCell ref="H24:I24"/>
    <mergeCell ref="C27:I27"/>
    <mergeCell ref="A32:D32"/>
    <mergeCell ref="E32:I32"/>
    <mergeCell ref="A33:D33"/>
    <mergeCell ref="E33:I33"/>
    <mergeCell ref="A35:D35"/>
    <mergeCell ref="E35:I35"/>
    <mergeCell ref="A36:D36"/>
    <mergeCell ref="E36:I36"/>
    <mergeCell ref="A1:C1"/>
    <mergeCell ref="D1:I1"/>
    <mergeCell ref="A2:C2"/>
    <mergeCell ref="D2:I2"/>
    <mergeCell ref="A3:C3"/>
    <mergeCell ref="D3:I3"/>
    <mergeCell ref="A4:I4"/>
    <mergeCell ref="A6:I6"/>
    <mergeCell ref="A10:I10"/>
    <mergeCell ref="A11:I11"/>
    <mergeCell ref="A12:I12"/>
    <mergeCell ref="E14:G14"/>
    <mergeCell ref="H15:I15"/>
    <mergeCell ref="C16:D16"/>
  </mergeCells>
  <printOptions horizontalCentered="1"/>
  <pageMargins left="0.45" right="0.2" top="0.47" bottom="0.37"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D3B1D-BF2F-45C6-9105-4C57C37D37AA}">
  <dimension ref="A1"/>
  <sheetViews>
    <sheetView workbookViewId="0">
      <selection activeCell="P37" sqref="P3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KH vốn</vt:lpstr>
      <vt:lpstr>Vốn</vt:lpstr>
      <vt:lpstr>QĐ</vt:lpstr>
      <vt:lpstr>Tổng hợp</vt:lpstr>
      <vt:lpstr>Vị trí 1</vt:lpstr>
      <vt:lpstr>Thông tri</vt:lpstr>
      <vt:lpstr>KS chi</vt:lpstr>
      <vt:lpstr>GĐNTT</vt:lpstr>
      <vt:lpstr>Quyết toán năm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cp:lastPrinted>2026-07-18T01:13:48Z</cp:lastPrinted>
  <dcterms:created xsi:type="dcterms:W3CDTF">2023-11-28T00:48:52Z</dcterms:created>
  <dcterms:modified xsi:type="dcterms:W3CDTF">2026-07-18T02:33:05Z</dcterms:modified>
</cp:coreProperties>
</file>
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ATA_P4F6M596\"/>
    </mc:Choice>
  </mc:AlternateContent>
  <xr:revisionPtr revIDLastSave="0" documentId="8_{9C1F08E8-88B4-4F13-B692-8DCDFECFBB2F}" xr6:coauthVersionLast="47" xr6:coauthVersionMax="47" xr10:uidLastSave="{00000000-0000-0000-0000-000000000000}"/>
  <bookViews>
    <workbookView xWindow="-120" yWindow="-120" windowWidth="38640" windowHeight="21240" tabRatio="924" activeTab="5" xr2:uid="{00000000-000D-0000-FFFF-FFFF00000000}"/>
  </bookViews>
  <sheets>
    <sheet name="QĐ" sheetId="22" r:id="rId1"/>
    <sheet name="Tổng hợp" sheetId="16" r:id="rId2"/>
    <sheet name="DA1" sheetId="23" r:id="rId3"/>
    <sheet name="T.Tri 2026" sheetId="30" r:id="rId4"/>
    <sheet name="CT1" sheetId="36" r:id="rId5"/>
    <sheet name="CT2" sheetId="3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37" l="1"/>
  <c r="I20" i="37" s="1"/>
  <c r="I26" i="37" s="1"/>
  <c r="F19" i="37"/>
  <c r="D19" i="37"/>
  <c r="D17" i="36"/>
  <c r="D13" i="36"/>
  <c r="D7" i="36"/>
  <c r="A18" i="36"/>
  <c r="H23" i="30" l="1"/>
  <c r="G25" i="23"/>
  <c r="H25" i="23"/>
  <c r="I25" i="23"/>
  <c r="F25" i="23"/>
  <c r="D25" i="23"/>
  <c r="C24" i="30"/>
  <c r="N7" i="23" l="1"/>
  <c r="M7" i="23" l="1"/>
  <c r="J25" i="23" l="1"/>
  <c r="K25" i="23" l="1"/>
  <c r="L7" i="23" l="1"/>
  <c r="D15" i="22" l="1"/>
  <c r="E15" i="22"/>
  <c r="F15" i="22"/>
  <c r="G15" i="22"/>
  <c r="H15" i="22"/>
  <c r="K15" i="22"/>
  <c r="J15" i="22"/>
  <c r="F7" i="23" l="1"/>
  <c r="D7" i="23"/>
  <c r="O25" i="23"/>
  <c r="G7" i="23"/>
  <c r="O7" i="23"/>
  <c r="O6" i="23" l="1"/>
  <c r="H7" i="23"/>
  <c r="J7" i="23"/>
  <c r="F6" i="23"/>
  <c r="H6" i="23"/>
  <c r="G6" i="23"/>
  <c r="D6" i="23"/>
  <c r="M6" i="23" l="1"/>
  <c r="N25" i="23"/>
  <c r="N6" i="23" s="1"/>
  <c r="L25" i="23"/>
  <c r="I6" i="23"/>
  <c r="K7" i="23"/>
  <c r="I7" i="23"/>
  <c r="K6" i="23"/>
  <c r="L6" i="23" l="1"/>
  <c r="J6" i="23"/>
  <c r="I15" i="22" l="1"/>
  <c r="O28" i="16" l="1"/>
  <c r="Q28" i="16" l="1"/>
  <c r="D28" i="16" l="1"/>
  <c r="M28" i="16" l="1"/>
  <c r="N28" i="16"/>
  <c r="P28" i="16" l="1"/>
  <c r="K28" i="16" l="1"/>
  <c r="H28" i="16" l="1"/>
  <c r="G28" i="16" l="1"/>
  <c r="F28" i="16"/>
  <c r="I28" i="16" l="1"/>
  <c r="E28" i="16"/>
  <c r="L28" i="16" l="1"/>
  <c r="J28" i="16"/>
  <c r="L6" i="16" l="1"/>
  <c r="L29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  <author>DELL</author>
  </authors>
  <commentList>
    <comment ref="I6" authorId="0" shapeId="0" xr:uid="{00000000-0006-0000-0500-000001000000}">
      <text>
        <r>
          <rPr>
            <b/>
            <sz val="12"/>
            <color indexed="81"/>
            <rFont val="Tahoma"/>
            <family val="2"/>
          </rPr>
          <t>7.020</t>
        </r>
      </text>
    </comment>
    <comment ref="K31" authorId="1" shapeId="0" xr:uid="{8330AB2C-9BB4-4075-916B-A8AA89964FC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Thiếu HS thanh toán</t>
        </r>
      </text>
    </comment>
    <comment ref="G37" authorId="2" shapeId="0" xr:uid="{00000000-0006-0000-05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25/4/2024</t>
        </r>
      </text>
    </comment>
    <comment ref="K55" authorId="1" shapeId="0" xr:uid="{DC41FA3B-7C4D-43B5-A234-942CE4CF42C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Thiếu HS thanh toán</t>
        </r>
      </text>
    </comment>
    <comment ref="N78" authorId="1" shapeId="0" xr:uid="{8C32F2F7-4505-4AFE-92C5-0801B76E19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Chưa có TT thu nhồi</t>
        </r>
      </text>
    </comment>
  </commentList>
</comments>
</file>

<file path=xl/sharedStrings.xml><?xml version="1.0" encoding="utf-8"?>
<sst xmlns="http://schemas.openxmlformats.org/spreadsheetml/2006/main" count="154" uniqueCount="133">
  <si>
    <t>SỔ THEO DÕI ỨNG, THANH TOÁN TIỀN</t>
  </si>
  <si>
    <t>Nội dung</t>
  </si>
  <si>
    <t>Giá trị HĐ</t>
  </si>
  <si>
    <t>TT</t>
  </si>
  <si>
    <t>NỘI DUNG</t>
  </si>
  <si>
    <t>TỔNG CỘNG</t>
  </si>
  <si>
    <t>Tổng cộng</t>
  </si>
  <si>
    <t>Đơn vị Thi công (Nhà thầu)</t>
  </si>
  <si>
    <t>Tên dự án</t>
  </si>
  <si>
    <t>Tổng mức đầu tư</t>
  </si>
  <si>
    <t>Chi phí XD</t>
  </si>
  <si>
    <t>CP Dự phòng</t>
  </si>
  <si>
    <t>Dự phòng NSNN</t>
  </si>
  <si>
    <t>THÔNG TRI</t>
  </si>
  <si>
    <t xml:space="preserve">Đơn vị:                         </t>
  </si>
  <si>
    <t xml:space="preserve"> TK……………….………...…Đơn vị………..Số CT……..</t>
  </si>
  <si>
    <t xml:space="preserve"> TK………………………....…Đơn vị………..Số CT…….</t>
  </si>
  <si>
    <t>Tên CTMT, DA..................................................................... Mã số: ............................</t>
  </si>
  <si>
    <t>Đơn vị tính: Đồng</t>
  </si>
  <si>
    <t>Loại ngân sách</t>
  </si>
  <si>
    <t>Mục lục ngân sách</t>
  </si>
  <si>
    <t>SỐ TIỀN</t>
  </si>
  <si>
    <t>Mục</t>
  </si>
  <si>
    <t>Tiểu
mục</t>
  </si>
  <si>
    <t>Tiết
mục</t>
  </si>
  <si>
    <t>Ngành</t>
  </si>
  <si>
    <t>A</t>
  </si>
  <si>
    <t>B</t>
  </si>
  <si>
    <t>C</t>
  </si>
  <si>
    <t>D</t>
  </si>
  <si>
    <t>E</t>
  </si>
  <si>
    <t>F</t>
  </si>
  <si>
    <t>G</t>
  </si>
  <si>
    <t>Cộng</t>
  </si>
  <si>
    <t>Khoản</t>
  </si>
  <si>
    <t>I</t>
  </si>
  <si>
    <t>CHI PHÍ XÂY DỰNG</t>
  </si>
  <si>
    <t xml:space="preserve">II </t>
  </si>
  <si>
    <t>CP TƯ VẤN ĐTXD</t>
  </si>
  <si>
    <t>Số TT</t>
  </si>
  <si>
    <t>Thu hồi tạm ứng</t>
  </si>
  <si>
    <t>Thanh toán khối lượng hoàn thành</t>
  </si>
  <si>
    <t>Khối lượng hoàn thành</t>
  </si>
  <si>
    <t>Tạm ứng</t>
  </si>
  <si>
    <t>Tổng giá trị đã giải ngân</t>
  </si>
  <si>
    <t>Tạm ứng chưa thu hồi</t>
  </si>
  <si>
    <t>TT tiền cho nhà thầu</t>
  </si>
  <si>
    <t>TT Khối lượng hoàn thành</t>
  </si>
  <si>
    <t>Giá trị HĐ, PLHĐ Xây lắp</t>
  </si>
  <si>
    <t>Đơn vị thi công xây lắp</t>
  </si>
  <si>
    <t xml:space="preserve">Phụ lục số </t>
  </si>
  <si>
    <t>Giá trị giải ngân đến thời điểm báo cáo:</t>
  </si>
  <si>
    <t>PHẦN GHI CỦA CƠ QUAN KIỂM SOÁT, THANH TOÁN</t>
  </si>
  <si>
    <t xml:space="preserve">Ngày nhận giấy đề nghị thanh toán vốn đầu tư:  </t>
  </si>
  <si>
    <t xml:space="preserve">Phòng Tài chính HQ chấp thuận: </t>
  </si>
  <si>
    <t>TTKLHT</t>
  </si>
  <si>
    <t>theo nội dung sau:</t>
  </si>
  <si>
    <t>Đơn vị tính: đồng</t>
  </si>
  <si>
    <t>Tổng số</t>
  </si>
  <si>
    <t>Vốn trong nước</t>
  </si>
  <si>
    <t>Vốn nước ngoài</t>
  </si>
  <si>
    <t>Số vốn chấp nhận</t>
  </si>
  <si>
    <t xml:space="preserve"> + Mục ........, tiểu mục ........</t>
  </si>
  <si>
    <t>Trong đó:</t>
  </si>
  <si>
    <t xml:space="preserve"> + Số thu hồi tạm ứng</t>
  </si>
  <si>
    <t xml:space="preserve">  Các năm trước</t>
  </si>
  <si>
    <t xml:space="preserve">  Năm nay</t>
  </si>
  <si>
    <t xml:space="preserve"> + Thuế giá trị gia tăng</t>
  </si>
  <si>
    <t xml:space="preserve"> + Số trả đơn vị thụ hưởng</t>
  </si>
  <si>
    <t xml:space="preserve">Số từ chối: </t>
  </si>
  <si>
    <t>đồng</t>
  </si>
  <si>
    <t xml:space="preserve">Lý do từ chối: </t>
  </si>
  <si>
    <t xml:space="preserve"> </t>
  </si>
  <si>
    <t>Chi phí khác</t>
  </si>
  <si>
    <t>ĐVT: Đồng</t>
  </si>
  <si>
    <t>Quỹ dự trữ ngoại hối</t>
  </si>
  <si>
    <t xml:space="preserve">Quỹ DTNH </t>
  </si>
  <si>
    <t>CỘNG HOÀ XÃ HỘI CHỦ NGHĨA VIỆT NAM</t>
  </si>
  <si>
    <t>Độc lập - Tự do - Hạnh phúc</t>
  </si>
  <si>
    <t>GIẤY ĐỀ NGHỊ THANH TOÁN VỐN ĐẦU TƯ</t>
  </si>
  <si>
    <t xml:space="preserve"> - Tên dự án công trình:</t>
  </si>
  <si>
    <t xml:space="preserve"> - Chủ đầu tư/Ban QLDA:  Quân chủng Hải quân </t>
  </si>
  <si>
    <t>Dự toán duyệt hoặc giá trị trúng thầu hoặc giá trị HĐ</t>
  </si>
  <si>
    <t>Lũy kế số vốn đã T/Toán từ K/công đến cuối kỳ trước (Gồm cả tạm ứng)</t>
  </si>
  <si>
    <t>Số đề nghị tạm ứng, thanh toán KLHT kỳ này (Gồm cả tạm ứng)</t>
  </si>
  <si>
    <t>CỘNG</t>
  </si>
  <si>
    <t xml:space="preserve"> - Số tiền đề nghị:</t>
  </si>
  <si>
    <t xml:space="preserve"> Tạm ứng</t>
  </si>
  <si>
    <t>đến kỳ này:</t>
  </si>
  <si>
    <t xml:space="preserve"> - Tên đơn vị thụ hưởng:</t>
  </si>
  <si>
    <t xml:space="preserve"> - Tại:</t>
  </si>
  <si>
    <t>Trưởng phòng Tài chính</t>
  </si>
  <si>
    <t>Chủ đầu tư</t>
  </si>
  <si>
    <t>Giải ngân từ Quỹ dự trữ ngoại hối</t>
  </si>
  <si>
    <t>Tên Dự án</t>
  </si>
  <si>
    <t>Quyết định phê duyệt</t>
  </si>
  <si>
    <t>Trong đó</t>
  </si>
  <si>
    <t>Chi phí QLDA</t>
  </si>
  <si>
    <t>CP Tư vấn đầu tư XD</t>
  </si>
  <si>
    <t>Nguồn vốn</t>
  </si>
  <si>
    <t>Quy đổi</t>
  </si>
  <si>
    <t>Quyết toán năm 2025</t>
  </si>
  <si>
    <t>NSNN</t>
  </si>
  <si>
    <r>
      <rPr>
        <b/>
        <sz val="12"/>
        <rFont val="Times New Roman"/>
        <family val="1"/>
      </rPr>
      <t>Bằng chữ:</t>
    </r>
    <r>
      <rPr>
        <b/>
        <i/>
        <sz val="12"/>
        <rFont val="Times New Roman"/>
        <family val="1"/>
      </rPr>
      <t xml:space="preserve"> </t>
    </r>
  </si>
  <si>
    <t>Giải ngân từ Dự phòng NSNN</t>
  </si>
  <si>
    <t>Thanh toán từ dự phòng NSNN</t>
  </si>
  <si>
    <t xml:space="preserve">Thanh toán </t>
  </si>
  <si>
    <t xml:space="preserve"> - Số dư tạm ứng của hạng mục đề nghị thanh toán:</t>
  </si>
  <si>
    <t xml:space="preserve"> - Thuộc kế hoạch:</t>
  </si>
  <si>
    <t xml:space="preserve"> - Tổng số tiền đề nghị tạm ứng, thanh toán bằng số:</t>
  </si>
  <si>
    <t xml:space="preserve"> - Thanh toán để thu hồi tạm ứng:</t>
  </si>
  <si>
    <t xml:space="preserve"> - Chuyển tiền bảo hành:</t>
  </si>
  <si>
    <t xml:space="preserve"> - Chuyển tiền tạm giữ chờ quyết toán:</t>
  </si>
  <si>
    <t xml:space="preserve"> - Số trả nhà thầu:</t>
  </si>
  <si>
    <t xml:space="preserve"> - Tài khoản:</t>
  </si>
  <si>
    <t xml:space="preserve"> - Thuộc nguồn vốn: </t>
  </si>
  <si>
    <t>Quyết toán năm 2026</t>
  </si>
  <si>
    <t xml:space="preserve"> - Bằng chữ:</t>
  </si>
  <si>
    <t xml:space="preserve">Ghi chú: </t>
  </si>
  <si>
    <t>TT KLHT</t>
  </si>
  <si>
    <t>Quyết toán đến năm 2025</t>
  </si>
  <si>
    <t>QDTNH</t>
  </si>
  <si>
    <t>QTKLHT</t>
  </si>
  <si>
    <t>Ứng chưa thu hồi</t>
  </si>
  <si>
    <t>Hải phòng, ngày     tháng      năm 2026</t>
  </si>
  <si>
    <t>Ngày  27 tháng 5  năm 2026</t>
  </si>
  <si>
    <t xml:space="preserve">Tổng hợp các QĐ phê duyệt dự án </t>
  </si>
  <si>
    <t xml:space="preserve"> NGUỒN KINH PHÍ ĐÂU TƯ XD</t>
  </si>
  <si>
    <t>Số tiền được  bảo đảm:</t>
  </si>
  <si>
    <t>Kinh phí: ….....</t>
  </si>
  <si>
    <t>Thanh toán …...</t>
  </si>
  <si>
    <t>Về tháng  …..  năm 202…</t>
  </si>
  <si>
    <t>Thanh toán KLHT theo HĐ số: …......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</si>
</sst>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5" formatCode="00"/>
    <numFmt numFmtId="166" formatCode="&quot;0&quot;\1\1"/>
    <numFmt numFmtId="167" formatCode="&quot;0&quot;0"/>
    <numFmt numFmtId="168" formatCode="#,##0&quot;đ&quot;"/>
    <numFmt numFmtId="169" formatCode="m/d/yy"/>
    <numFmt numFmtId="170" formatCode="_(* #,##0_);_(* \(#,##0\);_(* &quot;-&quot;??_);_(@_)"/>
    <numFmt numFmtId="171" formatCode="_ * #,##0.00_)_$_ ;_ * \(#,##0.00\)_$_ ;_ * &quot;-&quot;??_)_$_ ;_ @_ "/>
    <numFmt numFmtId="172" formatCode="&quot;LËp ngµy &quot;dd&quot; th¸ng &quot;mm&quot; n¨m &quot;yyyy"/>
    <numFmt numFmtId="173" formatCode="#,##0\ &quot;đ&quot;"/>
    <numFmt numFmtId="174" formatCode="#,##0.000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name val="Helv"/>
      <family val="2"/>
    </font>
    <font>
      <sz val="13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b/>
      <sz val="13.5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4"/>
      <name val=".VnTime"/>
      <family val="2"/>
    </font>
    <font>
      <u/>
      <sz val="13"/>
      <name val="Times New Roman"/>
      <family val="1"/>
    </font>
    <font>
      <b/>
      <i/>
      <sz val="13"/>
      <name val="Times New Roman"/>
      <family val="1"/>
    </font>
    <font>
      <i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10.5"/>
      <name val="Times New Roman"/>
      <family val="1"/>
    </font>
    <font>
      <i/>
      <sz val="11"/>
      <color theme="1"/>
      <name val="Times New Roman"/>
      <family val="1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Times New Roman"/>
      <family val="1"/>
    </font>
    <font>
      <b/>
      <u/>
      <sz val="13"/>
      <name val="Times New Roman"/>
      <family val="1"/>
    </font>
    <font>
      <b/>
      <sz val="12"/>
      <color indexed="81"/>
      <name val="Tahoma"/>
      <family val="2"/>
    </font>
    <font>
      <b/>
      <u/>
      <sz val="11"/>
      <name val="Times New Roman"/>
      <family val="1"/>
    </font>
    <font>
      <i/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43" fontId="23" fillId="0" borderId="0" applyFont="0" applyFill="0" applyBorder="0" applyAlignment="0" applyProtection="0"/>
    <xf numFmtId="171" fontId="32" fillId="0" borderId="0" applyFont="0" applyFill="0" applyBorder="0" applyAlignment="0" applyProtection="0"/>
  </cellStyleXfs>
  <cellXfs count="373">
    <xf numFmtId="0" fontId="0" fillId="0" borderId="0" xfId="0"/>
    <xf numFmtId="0" fontId="10" fillId="0" borderId="0" xfId="1" applyFont="1"/>
    <xf numFmtId="0" fontId="8" fillId="0" borderId="0" xfId="1" applyFont="1"/>
    <xf numFmtId="0" fontId="6" fillId="0" borderId="0" xfId="1" applyFont="1"/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3" xfId="1" applyFont="1" applyBorder="1" applyAlignment="1">
      <alignment vertical="center"/>
    </xf>
    <xf numFmtId="0" fontId="18" fillId="0" borderId="0" xfId="1" applyFont="1"/>
    <xf numFmtId="167" fontId="13" fillId="0" borderId="1" xfId="1" applyNumberFormat="1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165" fontId="13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3" fontId="30" fillId="0" borderId="0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13" xfId="0" applyNumberFormat="1" applyFont="1" applyBorder="1" applyAlignment="1">
      <alignment horizontal="right" vertical="center"/>
    </xf>
    <xf numFmtId="3" fontId="6" fillId="0" borderId="13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3" fontId="6" fillId="0" borderId="14" xfId="4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3" fontId="33" fillId="0" borderId="14" xfId="4" applyNumberFormat="1" applyFont="1" applyBorder="1" applyAlignment="1">
      <alignment horizontal="right" vertical="center"/>
    </xf>
    <xf numFmtId="0" fontId="34" fillId="0" borderId="14" xfId="0" applyFont="1" applyBorder="1" applyAlignment="1">
      <alignment vertical="center"/>
    </xf>
    <xf numFmtId="3" fontId="6" fillId="0" borderId="14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vertical="center"/>
    </xf>
    <xf numFmtId="3" fontId="6" fillId="0" borderId="15" xfId="4" applyNumberFormat="1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3" fontId="8" fillId="0" borderId="0" xfId="0" applyNumberFormat="1" applyFont="1"/>
    <xf numFmtId="0" fontId="24" fillId="0" borderId="0" xfId="0" applyFont="1"/>
    <xf numFmtId="0" fontId="24" fillId="3" borderId="0" xfId="0" applyFont="1" applyFill="1"/>
    <xf numFmtId="172" fontId="18" fillId="0" borderId="0" xfId="0" applyNumberFormat="1" applyFont="1" applyAlignment="1">
      <alignment horizontal="center"/>
    </xf>
    <xf numFmtId="0" fontId="12" fillId="3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3" borderId="0" xfId="0" applyFont="1" applyFill="1"/>
    <xf numFmtId="0" fontId="24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3" fontId="16" fillId="0" borderId="4" xfId="0" applyNumberFormat="1" applyFont="1" applyBorder="1" applyAlignment="1">
      <alignment vertical="center" wrapText="1"/>
    </xf>
    <xf numFmtId="3" fontId="16" fillId="0" borderId="5" xfId="0" applyNumberFormat="1" applyFont="1" applyBorder="1" applyAlignment="1">
      <alignment vertical="center" wrapText="1"/>
    </xf>
    <xf numFmtId="168" fontId="16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3" fontId="30" fillId="0" borderId="0" xfId="0" applyNumberFormat="1" applyFont="1" applyAlignment="1">
      <alignment vertical="center"/>
    </xf>
    <xf numFmtId="3" fontId="30" fillId="0" borderId="0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vertical="center" wrapText="1"/>
    </xf>
    <xf numFmtId="3" fontId="17" fillId="0" borderId="0" xfId="0" applyNumberFormat="1" applyFont="1" applyAlignment="1">
      <alignment vertical="center"/>
    </xf>
    <xf numFmtId="0" fontId="20" fillId="0" borderId="0" xfId="0" applyFont="1"/>
    <xf numFmtId="0" fontId="1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9" fillId="0" borderId="0" xfId="0" applyFont="1"/>
    <xf numFmtId="0" fontId="40" fillId="0" borderId="7" xfId="0" applyFont="1" applyBorder="1" applyAlignment="1">
      <alignment horizontal="right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9" fillId="0" borderId="1" xfId="0" applyFont="1" applyBorder="1"/>
    <xf numFmtId="3" fontId="41" fillId="0" borderId="1" xfId="0" applyNumberFormat="1" applyFont="1" applyBorder="1" applyAlignment="1">
      <alignment horizontal="right" vertical="center"/>
    </xf>
    <xf numFmtId="0" fontId="3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1" fillId="0" borderId="3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vertical="center"/>
    </xf>
    <xf numFmtId="3" fontId="42" fillId="0" borderId="1" xfId="0" applyNumberFormat="1" applyFont="1" applyBorder="1" applyAlignment="1">
      <alignment vertical="center"/>
    </xf>
    <xf numFmtId="0" fontId="39" fillId="0" borderId="1" xfId="0" applyFont="1" applyBorder="1" applyAlignment="1">
      <alignment horizontal="left" vertical="center" wrapText="1"/>
    </xf>
    <xf numFmtId="0" fontId="39" fillId="3" borderId="1" xfId="0" applyFont="1" applyFill="1" applyBorder="1" applyAlignment="1">
      <alignment vertical="center"/>
    </xf>
    <xf numFmtId="3" fontId="42" fillId="0" borderId="1" xfId="0" applyNumberFormat="1" applyFont="1" applyBorder="1" applyAlignment="1">
      <alignment horizontal="right" vertical="center" wrapText="1"/>
    </xf>
    <xf numFmtId="3" fontId="42" fillId="0" borderId="1" xfId="0" applyNumberFormat="1" applyFont="1" applyBorder="1" applyAlignment="1">
      <alignment horizontal="center" vertical="center"/>
    </xf>
    <xf numFmtId="3" fontId="30" fillId="3" borderId="2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3" fontId="43" fillId="0" borderId="1" xfId="0" applyNumberFormat="1" applyFont="1" applyBorder="1" applyAlignment="1">
      <alignment vertical="center"/>
    </xf>
    <xf numFmtId="3" fontId="30" fillId="4" borderId="1" xfId="0" applyNumberFormat="1" applyFont="1" applyFill="1" applyBorder="1" applyAlignment="1">
      <alignment horizontal="right" vertical="center"/>
    </xf>
    <xf numFmtId="3" fontId="30" fillId="0" borderId="1" xfId="0" applyNumberFormat="1" applyFont="1" applyBorder="1" applyAlignment="1">
      <alignment vertical="center"/>
    </xf>
    <xf numFmtId="0" fontId="30" fillId="0" borderId="0" xfId="0" applyFont="1"/>
    <xf numFmtId="0" fontId="30" fillId="0" borderId="4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1" fillId="0" borderId="0" xfId="0" applyFont="1"/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4" borderId="0" xfId="0" applyFont="1" applyFill="1" applyAlignment="1">
      <alignment vertical="center"/>
    </xf>
    <xf numFmtId="3" fontId="30" fillId="4" borderId="1" xfId="0" applyNumberFormat="1" applyFont="1" applyFill="1" applyBorder="1" applyAlignment="1">
      <alignment horizontal="center" vertical="center" wrapText="1"/>
    </xf>
    <xf numFmtId="3" fontId="30" fillId="3" borderId="1" xfId="0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3" fontId="44" fillId="0" borderId="1" xfId="0" applyNumberFormat="1" applyFont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3" fontId="31" fillId="0" borderId="1" xfId="0" applyNumberFormat="1" applyFont="1" applyBorder="1" applyAlignment="1">
      <alignment horizontal="right" vertical="center"/>
    </xf>
    <xf numFmtId="3" fontId="31" fillId="4" borderId="1" xfId="0" applyNumberFormat="1" applyFont="1" applyFill="1" applyBorder="1" applyAlignment="1">
      <alignment horizontal="right" vertical="center"/>
    </xf>
    <xf numFmtId="3" fontId="31" fillId="0" borderId="1" xfId="0" applyNumberFormat="1" applyFont="1" applyBorder="1" applyAlignment="1">
      <alignment vertical="center"/>
    </xf>
    <xf numFmtId="3" fontId="45" fillId="0" borderId="1" xfId="0" applyNumberFormat="1" applyFont="1" applyBorder="1" applyAlignment="1">
      <alignment horizontal="right" vertical="center"/>
    </xf>
    <xf numFmtId="0" fontId="31" fillId="3" borderId="1" xfId="0" applyFont="1" applyFill="1" applyBorder="1" applyAlignment="1">
      <alignment horizontal="center" vertical="center" wrapText="1"/>
    </xf>
    <xf numFmtId="3" fontId="31" fillId="0" borderId="1" xfId="0" applyNumberFormat="1" applyFont="1" applyBorder="1"/>
    <xf numFmtId="0" fontId="31" fillId="0" borderId="1" xfId="0" applyFont="1" applyBorder="1" applyAlignment="1">
      <alignment vertical="center"/>
    </xf>
    <xf numFmtId="0" fontId="31" fillId="0" borderId="1" xfId="0" applyFont="1" applyBorder="1"/>
    <xf numFmtId="3" fontId="30" fillId="4" borderId="0" xfId="0" applyNumberFormat="1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1" fillId="4" borderId="0" xfId="0" applyFont="1" applyFill="1"/>
    <xf numFmtId="0" fontId="30" fillId="0" borderId="0" xfId="0" applyFont="1" applyAlignment="1"/>
    <xf numFmtId="0" fontId="35" fillId="0" borderId="0" xfId="0" applyFont="1" applyAlignment="1"/>
    <xf numFmtId="0" fontId="7" fillId="0" borderId="1" xfId="1" applyFont="1" applyBorder="1" applyAlignment="1">
      <alignment horizontal="center" vertical="center" wrapText="1"/>
    </xf>
    <xf numFmtId="3" fontId="31" fillId="0" borderId="1" xfId="0" applyNumberFormat="1" applyFont="1" applyBorder="1" applyAlignment="1">
      <alignment horizontal="right" vertical="center"/>
    </xf>
    <xf numFmtId="0" fontId="31" fillId="0" borderId="4" xfId="0" applyFont="1" applyBorder="1" applyAlignment="1">
      <alignment vertical="center"/>
    </xf>
    <xf numFmtId="3" fontId="16" fillId="0" borderId="0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right" vertical="center"/>
    </xf>
    <xf numFmtId="3" fontId="16" fillId="0" borderId="0" xfId="0" applyNumberFormat="1" applyFont="1" applyBorder="1" applyAlignment="1">
      <alignment horizontal="right" vertical="center" wrapText="1"/>
    </xf>
    <xf numFmtId="4" fontId="30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/>
    </xf>
    <xf numFmtId="0" fontId="19" fillId="0" borderId="0" xfId="1" applyFont="1" applyAlignment="1">
      <alignment horizontal="center"/>
    </xf>
    <xf numFmtId="3" fontId="30" fillId="3" borderId="2" xfId="0" applyNumberFormat="1" applyFont="1" applyFill="1" applyBorder="1" applyAlignment="1">
      <alignment horizontal="right" vertical="center"/>
    </xf>
    <xf numFmtId="170" fontId="24" fillId="0" borderId="0" xfId="3" applyNumberFormat="1" applyFont="1"/>
    <xf numFmtId="0" fontId="37" fillId="0" borderId="6" xfId="0" applyFont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37" fillId="0" borderId="4" xfId="0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0" fontId="48" fillId="0" borderId="17" xfId="0" applyFont="1" applyBorder="1" applyAlignment="1">
      <alignment vertical="top" wrapText="1"/>
    </xf>
    <xf numFmtId="3" fontId="31" fillId="0" borderId="1" xfId="0" applyNumberFormat="1" applyFont="1" applyBorder="1" applyAlignment="1">
      <alignment horizontal="right" vertical="center"/>
    </xf>
    <xf numFmtId="0" fontId="30" fillId="2" borderId="1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right" vertical="center"/>
    </xf>
    <xf numFmtId="3" fontId="31" fillId="2" borderId="1" xfId="0" applyNumberFormat="1" applyFont="1" applyFill="1" applyBorder="1" applyAlignment="1">
      <alignment horizontal="right" vertical="center"/>
    </xf>
    <xf numFmtId="3" fontId="20" fillId="0" borderId="0" xfId="0" applyNumberFormat="1" applyFont="1" applyFill="1"/>
    <xf numFmtId="3" fontId="27" fillId="0" borderId="1" xfId="0" applyNumberFormat="1" applyFont="1" applyFill="1" applyBorder="1" applyAlignment="1">
      <alignment horizontal="right" vertical="center"/>
    </xf>
    <xf numFmtId="3" fontId="22" fillId="0" borderId="0" xfId="0" applyNumberFormat="1" applyFont="1" applyFill="1"/>
    <xf numFmtId="3" fontId="22" fillId="0" borderId="0" xfId="0" applyNumberFormat="1" applyFont="1" applyFill="1" applyAlignment="1">
      <alignment vertical="center"/>
    </xf>
    <xf numFmtId="3" fontId="27" fillId="0" borderId="1" xfId="0" applyNumberFormat="1" applyFont="1" applyFill="1" applyBorder="1" applyAlignment="1">
      <alignment vertical="center"/>
    </xf>
    <xf numFmtId="3" fontId="22" fillId="0" borderId="1" xfId="0" applyNumberFormat="1" applyFont="1" applyFill="1" applyBorder="1" applyAlignment="1">
      <alignment vertical="center"/>
    </xf>
    <xf numFmtId="0" fontId="0" fillId="0" borderId="0" xfId="0" applyFont="1"/>
    <xf numFmtId="0" fontId="49" fillId="0" borderId="8" xfId="1" applyFont="1" applyBorder="1" applyAlignment="1">
      <alignment vertical="center" wrapText="1"/>
    </xf>
    <xf numFmtId="0" fontId="49" fillId="0" borderId="8" xfId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3" fontId="27" fillId="0" borderId="3" xfId="0" applyNumberFormat="1" applyFont="1" applyFill="1" applyBorder="1" applyAlignment="1">
      <alignment horizontal="center" vertical="center"/>
    </xf>
    <xf numFmtId="3" fontId="21" fillId="0" borderId="1" xfId="0" applyNumberFormat="1" applyFont="1" applyFill="1" applyBorder="1" applyAlignment="1">
      <alignment horizontal="center" vertical="center" wrapText="1"/>
    </xf>
    <xf numFmtId="3" fontId="21" fillId="0" borderId="1" xfId="0" applyNumberFormat="1" applyFont="1" applyFill="1" applyBorder="1" applyAlignment="1">
      <alignment vertical="center"/>
    </xf>
    <xf numFmtId="3" fontId="21" fillId="0" borderId="1" xfId="0" applyNumberFormat="1" applyFont="1" applyFill="1" applyBorder="1" applyAlignment="1">
      <alignment horizontal="right" vertical="center"/>
    </xf>
    <xf numFmtId="0" fontId="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7" fillId="0" borderId="3" xfId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8" fillId="0" borderId="12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3" fontId="17" fillId="0" borderId="0" xfId="0" applyNumberFormat="1" applyFont="1" applyAlignment="1">
      <alignment horizontal="left" vertical="center" wrapText="1"/>
    </xf>
    <xf numFmtId="168" fontId="17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center"/>
    </xf>
    <xf numFmtId="37" fontId="14" fillId="0" borderId="1" xfId="1" applyNumberFormat="1" applyFont="1" applyBorder="1" applyAlignment="1">
      <alignment vertical="center" wrapText="1"/>
    </xf>
    <xf numFmtId="37" fontId="7" fillId="0" borderId="1" xfId="1" applyNumberFormat="1" applyFont="1" applyBorder="1" applyAlignment="1">
      <alignment vertical="center" wrapText="1"/>
    </xf>
    <xf numFmtId="37" fontId="7" fillId="0" borderId="3" xfId="1" applyNumberFormat="1" applyFont="1" applyBorder="1" applyAlignment="1">
      <alignment vertical="center"/>
    </xf>
    <xf numFmtId="37" fontId="0" fillId="0" borderId="0" xfId="0" applyNumberFormat="1"/>
    <xf numFmtId="167" fontId="24" fillId="0" borderId="3" xfId="1" applyNumberFormat="1" applyFont="1" applyBorder="1" applyAlignment="1">
      <alignment horizontal="center" vertical="center"/>
    </xf>
    <xf numFmtId="166" fontId="24" fillId="0" borderId="3" xfId="1" applyNumberFormat="1" applyFont="1" applyBorder="1" applyAlignment="1">
      <alignment horizontal="center" vertical="center"/>
    </xf>
    <xf numFmtId="1" fontId="24" fillId="0" borderId="3" xfId="1" applyNumberFormat="1" applyFont="1" applyBorder="1" applyAlignment="1">
      <alignment horizontal="center" vertical="center"/>
    </xf>
    <xf numFmtId="165" fontId="24" fillId="0" borderId="3" xfId="1" applyNumberFormat="1" applyFont="1" applyBorder="1" applyAlignment="1">
      <alignment horizontal="center" vertical="center"/>
    </xf>
    <xf numFmtId="37" fontId="14" fillId="0" borderId="3" xfId="1" applyNumberFormat="1" applyFont="1" applyBorder="1" applyAlignment="1">
      <alignment vertical="center" wrapText="1"/>
    </xf>
    <xf numFmtId="0" fontId="14" fillId="0" borderId="3" xfId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6" fillId="0" borderId="2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3" fontId="31" fillId="0" borderId="1" xfId="0" applyNumberFormat="1" applyFont="1" applyBorder="1" applyAlignment="1">
      <alignment horizontal="right" vertical="center"/>
    </xf>
    <xf numFmtId="3" fontId="31" fillId="0" borderId="2" xfId="0" applyNumberFormat="1" applyFont="1" applyBorder="1" applyAlignment="1">
      <alignment horizontal="right" vertical="center"/>
    </xf>
    <xf numFmtId="3" fontId="31" fillId="0" borderId="3" xfId="0" applyNumberFormat="1" applyFont="1" applyBorder="1" applyAlignment="1">
      <alignment horizontal="right" vertical="center"/>
    </xf>
    <xf numFmtId="3" fontId="31" fillId="4" borderId="2" xfId="0" applyNumberFormat="1" applyFont="1" applyFill="1" applyBorder="1" applyAlignment="1">
      <alignment horizontal="right" vertical="center"/>
    </xf>
    <xf numFmtId="3" fontId="31" fillId="4" borderId="3" xfId="0" applyNumberFormat="1" applyFont="1" applyFill="1" applyBorder="1" applyAlignment="1">
      <alignment horizontal="right" vertical="center"/>
    </xf>
    <xf numFmtId="3" fontId="30" fillId="3" borderId="1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3" fontId="30" fillId="3" borderId="1" xfId="0" applyNumberFormat="1" applyFont="1" applyFill="1" applyBorder="1" applyAlignment="1">
      <alignment horizontal="center" vertical="center" wrapText="1"/>
    </xf>
    <xf numFmtId="3" fontId="30" fillId="4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45" fillId="0" borderId="1" xfId="0" applyNumberFormat="1" applyFont="1" applyBorder="1" applyAlignment="1">
      <alignment horizontal="right" vertical="center"/>
    </xf>
    <xf numFmtId="0" fontId="45" fillId="0" borderId="1" xfId="0" applyFont="1" applyBorder="1" applyAlignment="1">
      <alignment horizontal="right" vertical="center"/>
    </xf>
    <xf numFmtId="3" fontId="31" fillId="0" borderId="1" xfId="0" applyNumberFormat="1" applyFont="1" applyBorder="1" applyAlignment="1">
      <alignment horizontal="center" vertical="center"/>
    </xf>
    <xf numFmtId="3" fontId="45" fillId="0" borderId="2" xfId="0" applyNumberFormat="1" applyFont="1" applyBorder="1" applyAlignment="1">
      <alignment horizontal="right" vertical="center"/>
    </xf>
    <xf numFmtId="3" fontId="45" fillId="0" borderId="3" xfId="0" applyNumberFormat="1" applyFont="1" applyBorder="1" applyAlignment="1">
      <alignment horizontal="right" vertical="center"/>
    </xf>
    <xf numFmtId="3" fontId="22" fillId="0" borderId="2" xfId="0" applyNumberFormat="1" applyFont="1" applyFill="1" applyBorder="1" applyAlignment="1">
      <alignment horizontal="center" vertical="center" wrapText="1"/>
    </xf>
    <xf numFmtId="3" fontId="22" fillId="0" borderId="10" xfId="0" applyNumberFormat="1" applyFont="1" applyFill="1" applyBorder="1" applyAlignment="1">
      <alignment horizontal="center" vertical="center" wrapText="1"/>
    </xf>
    <xf numFmtId="3" fontId="22" fillId="0" borderId="3" xfId="0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9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17" fillId="0" borderId="8" xfId="1" applyFont="1" applyBorder="1" applyAlignment="1">
      <alignment horizontal="right" vertic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8" fillId="3" borderId="0" xfId="1" applyFont="1" applyFill="1" applyAlignment="1">
      <alignment horizontal="left" vertical="center"/>
    </xf>
    <xf numFmtId="0" fontId="6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12" fillId="0" borderId="7" xfId="1" applyFont="1" applyBorder="1" applyAlignment="1">
      <alignment horizontal="right"/>
    </xf>
    <xf numFmtId="0" fontId="13" fillId="0" borderId="2" xfId="1" applyFont="1" applyBorder="1" applyAlignment="1">
      <alignment horizontal="center" wrapText="1"/>
    </xf>
    <xf numFmtId="0" fontId="13" fillId="0" borderId="3" xfId="1" applyFont="1" applyBorder="1" applyAlignment="1">
      <alignment horizontal="center" wrapText="1"/>
    </xf>
    <xf numFmtId="0" fontId="13" fillId="0" borderId="4" xfId="1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3" fontId="16" fillId="0" borderId="0" xfId="0" applyNumberFormat="1" applyFont="1" applyAlignment="1">
      <alignment horizontal="right" vertical="center"/>
    </xf>
    <xf numFmtId="0" fontId="6" fillId="0" borderId="16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168" fontId="12" fillId="0" borderId="0" xfId="0" applyNumberFormat="1" applyFont="1" applyAlignment="1">
      <alignment horizontal="right" vertical="center" wrapText="1"/>
    </xf>
    <xf numFmtId="168" fontId="17" fillId="0" borderId="0" xfId="0" applyNumberFormat="1" applyFont="1" applyAlignment="1">
      <alignment horizontal="right" vertical="top" wrapText="1"/>
    </xf>
    <xf numFmtId="0" fontId="16" fillId="0" borderId="0" xfId="0" applyFont="1" applyAlignment="1">
      <alignment horizontal="left" vertical="center" wrapText="1"/>
    </xf>
    <xf numFmtId="167" fontId="8" fillId="0" borderId="0" xfId="3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/>
    </xf>
    <xf numFmtId="3" fontId="15" fillId="0" borderId="4" xfId="0" applyNumberFormat="1" applyFont="1" applyBorder="1" applyAlignment="1">
      <alignment horizontal="center" vertical="center" wrapText="1"/>
    </xf>
    <xf numFmtId="3" fontId="15" fillId="0" borderId="6" xfId="0" applyNumberFormat="1" applyFont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 wrapText="1"/>
    </xf>
    <xf numFmtId="3" fontId="16" fillId="3" borderId="4" xfId="0" applyNumberFormat="1" applyFont="1" applyFill="1" applyBorder="1" applyAlignment="1">
      <alignment horizontal="right" vertical="center" wrapText="1"/>
    </xf>
    <xf numFmtId="3" fontId="16" fillId="3" borderId="5" xfId="0" applyNumberFormat="1" applyFont="1" applyFill="1" applyBorder="1" applyAlignment="1">
      <alignment horizontal="right" vertical="center" wrapText="1"/>
    </xf>
    <xf numFmtId="3" fontId="16" fillId="0" borderId="4" xfId="0" applyNumberFormat="1" applyFont="1" applyBorder="1" applyAlignment="1">
      <alignment horizontal="right" vertical="center"/>
    </xf>
    <xf numFmtId="3" fontId="16" fillId="0" borderId="5" xfId="0" applyNumberFormat="1" applyFont="1" applyBorder="1" applyAlignment="1">
      <alignment horizontal="right" vertical="center"/>
    </xf>
    <xf numFmtId="3" fontId="16" fillId="0" borderId="4" xfId="0" applyNumberFormat="1" applyFont="1" applyBorder="1" applyAlignment="1">
      <alignment horizontal="right" vertical="center" wrapText="1"/>
    </xf>
    <xf numFmtId="3" fontId="16" fillId="0" borderId="5" xfId="0" applyNumberFormat="1" applyFont="1" applyBorder="1" applyAlignment="1">
      <alignment horizontal="right" vertical="center" wrapText="1"/>
    </xf>
    <xf numFmtId="3" fontId="2" fillId="0" borderId="0" xfId="0" applyNumberFormat="1" applyFont="1" applyFill="1" applyAlignment="1">
      <alignment horizontal="center" vertical="center"/>
    </xf>
    <xf numFmtId="3" fontId="21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3" fontId="1" fillId="0" borderId="0" xfId="0" applyNumberFormat="1" applyFont="1" applyFill="1"/>
    <xf numFmtId="3" fontId="30" fillId="0" borderId="0" xfId="0" applyNumberFormat="1" applyFont="1" applyFill="1" applyBorder="1" applyAlignment="1">
      <alignment horizontal="center" vertical="center"/>
    </xf>
    <xf numFmtId="3" fontId="27" fillId="0" borderId="0" xfId="0" applyNumberFormat="1" applyFont="1" applyFill="1" applyBorder="1" applyAlignment="1">
      <alignment vertical="center"/>
    </xf>
    <xf numFmtId="169" fontId="2" fillId="0" borderId="0" xfId="0" applyNumberFormat="1" applyFont="1" applyFill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right" vertical="center"/>
    </xf>
    <xf numFmtId="169" fontId="21" fillId="0" borderId="0" xfId="0" applyNumberFormat="1" applyFont="1" applyFill="1" applyAlignment="1">
      <alignment horizontal="left" vertical="center" wrapText="1"/>
    </xf>
    <xf numFmtId="3" fontId="20" fillId="0" borderId="0" xfId="0" applyNumberFormat="1" applyFont="1" applyFill="1" applyAlignment="1">
      <alignment wrapText="1"/>
    </xf>
    <xf numFmtId="3" fontId="21" fillId="0" borderId="0" xfId="0" applyNumberFormat="1" applyFont="1" applyFill="1" applyBorder="1" applyAlignment="1">
      <alignment horizontal="center" vertical="center" wrapText="1"/>
    </xf>
    <xf numFmtId="3" fontId="20" fillId="0" borderId="0" xfId="0" applyNumberFormat="1" applyFont="1" applyFill="1" applyBorder="1" applyAlignment="1">
      <alignment horizontal="right" vertical="center"/>
    </xf>
    <xf numFmtId="3" fontId="20" fillId="0" borderId="0" xfId="0" applyNumberFormat="1" applyFont="1" applyFill="1" applyAlignment="1">
      <alignment horizontal="center" vertical="center"/>
    </xf>
    <xf numFmtId="3" fontId="20" fillId="0" borderId="0" xfId="0" applyNumberFormat="1" applyFont="1" applyFill="1" applyAlignment="1">
      <alignment vertical="center"/>
    </xf>
    <xf numFmtId="3" fontId="22" fillId="0" borderId="0" xfId="0" applyNumberFormat="1" applyFont="1" applyFill="1" applyAlignment="1">
      <alignment horizontal="center" vertical="center" wrapText="1"/>
    </xf>
    <xf numFmtId="169" fontId="27" fillId="0" borderId="1" xfId="0" applyNumberFormat="1" applyFont="1" applyFill="1" applyBorder="1" applyAlignment="1">
      <alignment horizontal="center" vertical="center" wrapText="1"/>
    </xf>
    <xf numFmtId="3" fontId="27" fillId="0" borderId="4" xfId="0" applyNumberFormat="1" applyFont="1" applyFill="1" applyBorder="1" applyAlignment="1">
      <alignment horizontal="center" vertical="center" wrapText="1"/>
    </xf>
    <xf numFmtId="3" fontId="27" fillId="0" borderId="1" xfId="0" applyNumberFormat="1" applyFont="1" applyFill="1" applyBorder="1" applyAlignment="1">
      <alignment horizontal="center" vertical="center" wrapText="1"/>
    </xf>
    <xf numFmtId="3" fontId="27" fillId="0" borderId="1" xfId="0" applyNumberFormat="1" applyFont="1" applyFill="1" applyBorder="1" applyAlignment="1">
      <alignment horizontal="right" vertical="center"/>
    </xf>
    <xf numFmtId="3" fontId="27" fillId="0" borderId="11" xfId="0" applyNumberFormat="1" applyFont="1" applyFill="1" applyBorder="1" applyAlignment="1">
      <alignment horizontal="center" vertical="center" wrapText="1"/>
    </xf>
    <xf numFmtId="3" fontId="27" fillId="0" borderId="2" xfId="0" applyNumberFormat="1" applyFont="1" applyFill="1" applyBorder="1" applyAlignment="1">
      <alignment horizontal="center" vertical="center"/>
    </xf>
    <xf numFmtId="3" fontId="27" fillId="0" borderId="1" xfId="0" applyNumberFormat="1" applyFont="1" applyFill="1" applyBorder="1" applyAlignment="1">
      <alignment horizontal="center" vertical="center"/>
    </xf>
    <xf numFmtId="3" fontId="27" fillId="0" borderId="18" xfId="0" applyNumberFormat="1" applyFont="1" applyFill="1" applyBorder="1" applyAlignment="1">
      <alignment horizontal="center" vertical="center" wrapText="1"/>
    </xf>
    <xf numFmtId="3" fontId="27" fillId="0" borderId="3" xfId="0" applyNumberFormat="1" applyFont="1" applyFill="1" applyBorder="1" applyAlignment="1">
      <alignment horizontal="center" vertical="center"/>
    </xf>
    <xf numFmtId="3" fontId="27" fillId="0" borderId="2" xfId="0" applyNumberFormat="1" applyFont="1" applyFill="1" applyBorder="1" applyAlignment="1">
      <alignment horizontal="center" vertical="center" wrapText="1"/>
    </xf>
    <xf numFmtId="3" fontId="27" fillId="0" borderId="2" xfId="0" applyNumberFormat="1" applyFont="1" applyFill="1" applyBorder="1" applyAlignment="1">
      <alignment horizontal="center" vertical="center"/>
    </xf>
    <xf numFmtId="3" fontId="27" fillId="0" borderId="1" xfId="0" applyNumberFormat="1" applyFont="1" applyFill="1" applyBorder="1" applyAlignment="1">
      <alignment horizontal="center" vertical="center" wrapText="1"/>
    </xf>
    <xf numFmtId="3" fontId="27" fillId="0" borderId="6" xfId="0" applyNumberFormat="1" applyFont="1" applyFill="1" applyBorder="1" applyAlignment="1">
      <alignment horizontal="center" vertical="center" wrapText="1"/>
    </xf>
    <xf numFmtId="3" fontId="27" fillId="0" borderId="5" xfId="0" applyNumberFormat="1" applyFont="1" applyFill="1" applyBorder="1" applyAlignment="1">
      <alignment horizontal="center" vertical="center" wrapText="1"/>
    </xf>
    <xf numFmtId="3" fontId="27" fillId="0" borderId="5" xfId="0" applyNumberFormat="1" applyFont="1" applyFill="1" applyBorder="1" applyAlignment="1">
      <alignment horizontal="center" vertical="center"/>
    </xf>
    <xf numFmtId="169" fontId="28" fillId="0" borderId="4" xfId="0" applyNumberFormat="1" applyFont="1" applyFill="1" applyBorder="1" applyAlignment="1">
      <alignment horizontal="center" vertical="center" wrapText="1"/>
    </xf>
    <xf numFmtId="3" fontId="28" fillId="0" borderId="8" xfId="0" applyNumberFormat="1" applyFont="1" applyFill="1" applyBorder="1" applyAlignment="1">
      <alignment horizontal="center" vertical="center" wrapText="1"/>
    </xf>
    <xf numFmtId="3" fontId="28" fillId="0" borderId="1" xfId="0" applyNumberFormat="1" applyFont="1" applyFill="1" applyBorder="1" applyAlignment="1">
      <alignment horizontal="center" vertical="center" wrapText="1"/>
    </xf>
    <xf numFmtId="3" fontId="28" fillId="0" borderId="1" xfId="0" applyNumberFormat="1" applyFont="1" applyFill="1" applyBorder="1" applyAlignment="1">
      <alignment horizontal="right" vertical="center"/>
    </xf>
    <xf numFmtId="3" fontId="29" fillId="0" borderId="0" xfId="0" applyNumberFormat="1" applyFont="1" applyFill="1"/>
    <xf numFmtId="169" fontId="22" fillId="0" borderId="1" xfId="0" applyNumberFormat="1" applyFont="1" applyFill="1" applyBorder="1" applyAlignment="1">
      <alignment horizontal="center" vertical="center" wrapText="1"/>
    </xf>
    <xf numFmtId="3" fontId="27" fillId="0" borderId="4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 wrapText="1"/>
    </xf>
    <xf numFmtId="3" fontId="27" fillId="0" borderId="11" xfId="0" applyNumberFormat="1" applyFont="1" applyFill="1" applyBorder="1" applyAlignment="1">
      <alignment vertical="center"/>
    </xf>
    <xf numFmtId="3" fontId="27" fillId="0" borderId="16" xfId="0" applyNumberFormat="1" applyFont="1" applyFill="1" applyBorder="1" applyAlignment="1">
      <alignment vertical="center" wrapText="1"/>
    </xf>
    <xf numFmtId="3" fontId="27" fillId="0" borderId="9" xfId="0" applyNumberFormat="1" applyFont="1" applyFill="1" applyBorder="1" applyAlignment="1">
      <alignment vertical="center"/>
    </xf>
    <xf numFmtId="3" fontId="22" fillId="0" borderId="1" xfId="0" applyNumberFormat="1" applyFont="1" applyFill="1" applyBorder="1"/>
    <xf numFmtId="169" fontId="29" fillId="0" borderId="1" xfId="0" applyNumberFormat="1" applyFont="1" applyFill="1" applyBorder="1" applyAlignment="1">
      <alignment horizontal="center" vertical="center" wrapText="1"/>
    </xf>
    <xf numFmtId="3" fontId="29" fillId="0" borderId="1" xfId="0" applyNumberFormat="1" applyFont="1" applyFill="1" applyBorder="1" applyAlignment="1">
      <alignment vertical="center"/>
    </xf>
    <xf numFmtId="3" fontId="29" fillId="0" borderId="1" xfId="0" applyNumberFormat="1" applyFont="1" applyFill="1" applyBorder="1"/>
    <xf numFmtId="3" fontId="27" fillId="0" borderId="17" xfId="0" applyNumberFormat="1" applyFont="1" applyFill="1" applyBorder="1" applyAlignment="1">
      <alignment vertical="center" wrapText="1"/>
    </xf>
    <xf numFmtId="3" fontId="27" fillId="0" borderId="12" xfId="0" applyNumberFormat="1" applyFont="1" applyFill="1" applyBorder="1" applyAlignment="1">
      <alignment vertical="center" wrapText="1"/>
    </xf>
    <xf numFmtId="3" fontId="22" fillId="0" borderId="5" xfId="0" applyNumberFormat="1" applyFont="1" applyFill="1" applyBorder="1" applyAlignment="1">
      <alignment vertical="center"/>
    </xf>
    <xf numFmtId="169" fontId="28" fillId="0" borderId="1" xfId="0" applyNumberFormat="1" applyFont="1" applyFill="1" applyBorder="1" applyAlignment="1">
      <alignment horizontal="center" vertical="center" wrapText="1"/>
    </xf>
    <xf numFmtId="3" fontId="28" fillId="0" borderId="4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3" fontId="28" fillId="0" borderId="1" xfId="0" applyNumberFormat="1" applyFont="1" applyFill="1" applyBorder="1" applyAlignment="1">
      <alignment vertical="center"/>
    </xf>
    <xf numFmtId="3" fontId="28" fillId="0" borderId="0" xfId="0" applyNumberFormat="1" applyFont="1" applyFill="1"/>
    <xf numFmtId="3" fontId="27" fillId="0" borderId="2" xfId="0" applyNumberFormat="1" applyFont="1" applyFill="1" applyBorder="1" applyAlignment="1">
      <alignment horizontal="center" vertical="center" wrapText="1"/>
    </xf>
    <xf numFmtId="3" fontId="27" fillId="0" borderId="2" xfId="0" applyNumberFormat="1" applyFont="1" applyFill="1" applyBorder="1" applyAlignment="1">
      <alignment horizontal="right" vertical="center"/>
    </xf>
    <xf numFmtId="3" fontId="27" fillId="0" borderId="3" xfId="0" applyNumberFormat="1" applyFont="1" applyFill="1" applyBorder="1" applyAlignment="1">
      <alignment horizontal="center" vertical="center" wrapText="1"/>
    </xf>
    <xf numFmtId="3" fontId="27" fillId="0" borderId="3" xfId="0" applyNumberFormat="1" applyFont="1" applyFill="1" applyBorder="1" applyAlignment="1">
      <alignment horizontal="right" vertical="center"/>
    </xf>
    <xf numFmtId="3" fontId="28" fillId="0" borderId="2" xfId="0" applyNumberFormat="1" applyFont="1" applyFill="1" applyBorder="1" applyAlignment="1">
      <alignment horizontal="right" vertical="center"/>
    </xf>
    <xf numFmtId="3" fontId="28" fillId="0" borderId="3" xfId="0" applyNumberFormat="1" applyFont="1" applyFill="1" applyBorder="1" applyAlignment="1">
      <alignment horizontal="right" vertical="center"/>
    </xf>
    <xf numFmtId="3" fontId="22" fillId="0" borderId="4" xfId="0" applyNumberFormat="1" applyFont="1" applyFill="1" applyBorder="1" applyAlignment="1">
      <alignment vertical="center" wrapText="1"/>
    </xf>
    <xf numFmtId="3" fontId="22" fillId="0" borderId="12" xfId="0" applyNumberFormat="1" applyFont="1" applyFill="1" applyBorder="1" applyAlignment="1">
      <alignment vertical="center" wrapText="1"/>
    </xf>
    <xf numFmtId="3" fontId="22" fillId="0" borderId="12" xfId="0" applyNumberFormat="1" applyFont="1" applyFill="1" applyBorder="1" applyAlignment="1">
      <alignment horizontal="center" vertical="center" wrapText="1"/>
    </xf>
    <xf numFmtId="3" fontId="22" fillId="0" borderId="16" xfId="0" applyNumberFormat="1" applyFont="1" applyFill="1" applyBorder="1" applyAlignment="1">
      <alignment horizontal="center" vertical="center" wrapText="1"/>
    </xf>
    <xf numFmtId="3" fontId="22" fillId="0" borderId="17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Fill="1"/>
    <xf numFmtId="169" fontId="21" fillId="0" borderId="1" xfId="0" applyNumberFormat="1" applyFont="1" applyFill="1" applyBorder="1" applyAlignment="1">
      <alignment horizontal="center" vertical="center" wrapText="1"/>
    </xf>
    <xf numFmtId="3" fontId="21" fillId="0" borderId="4" xfId="0" applyNumberFormat="1" applyFont="1" applyFill="1" applyBorder="1" applyAlignment="1">
      <alignment vertical="center" wrapText="1"/>
    </xf>
    <xf numFmtId="3" fontId="21" fillId="0" borderId="1" xfId="0" applyNumberFormat="1" applyFont="1" applyFill="1" applyBorder="1" applyAlignment="1">
      <alignment horizontal="center" vertical="center"/>
    </xf>
    <xf numFmtId="3" fontId="21" fillId="0" borderId="0" xfId="0" applyNumberFormat="1" applyFont="1" applyFill="1"/>
    <xf numFmtId="169" fontId="27" fillId="0" borderId="1" xfId="0" applyNumberFormat="1" applyFont="1" applyFill="1" applyBorder="1" applyAlignment="1">
      <alignment horizontal="center" vertical="center" wrapText="1"/>
    </xf>
    <xf numFmtId="3" fontId="27" fillId="0" borderId="4" xfId="0" applyNumberFormat="1" applyFont="1" applyFill="1" applyBorder="1" applyAlignment="1">
      <alignment vertical="center" wrapText="1"/>
    </xf>
    <xf numFmtId="3" fontId="27" fillId="0" borderId="1" xfId="0" applyNumberFormat="1" applyFont="1" applyFill="1" applyBorder="1" applyAlignment="1">
      <alignment horizontal="center" vertical="center"/>
    </xf>
    <xf numFmtId="3" fontId="27" fillId="0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Fill="1" applyBorder="1" applyAlignment="1">
      <alignment horizontal="center" vertical="center"/>
    </xf>
    <xf numFmtId="174" fontId="22" fillId="0" borderId="1" xfId="0" applyNumberFormat="1" applyFont="1" applyFill="1" applyBorder="1" applyAlignment="1">
      <alignment vertical="center"/>
    </xf>
    <xf numFmtId="3" fontId="27" fillId="0" borderId="10" xfId="0" applyNumberFormat="1" applyFont="1" applyFill="1" applyBorder="1" applyAlignment="1">
      <alignment horizontal="right" vertical="center"/>
    </xf>
    <xf numFmtId="3" fontId="27" fillId="0" borderId="17" xfId="0" applyNumberFormat="1" applyFont="1" applyFill="1" applyBorder="1" applyAlignment="1">
      <alignment horizontal="center" vertical="center" wrapText="1"/>
    </xf>
    <xf numFmtId="3" fontId="27" fillId="0" borderId="3" xfId="0" applyNumberFormat="1" applyFont="1" applyFill="1" applyBorder="1" applyAlignment="1">
      <alignment horizontal="center" vertical="center" wrapText="1"/>
    </xf>
    <xf numFmtId="3" fontId="22" fillId="0" borderId="2" xfId="0" applyNumberFormat="1" applyFont="1" applyFill="1" applyBorder="1" applyAlignment="1">
      <alignment horizontal="right" vertical="center"/>
    </xf>
    <xf numFmtId="3" fontId="22" fillId="0" borderId="5" xfId="0" applyNumberFormat="1" applyFont="1" applyFill="1" applyBorder="1" applyAlignment="1">
      <alignment horizontal="center" vertical="center"/>
    </xf>
    <xf numFmtId="3" fontId="22" fillId="0" borderId="3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right" vertical="center"/>
    </xf>
    <xf numFmtId="169" fontId="4" fillId="0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Fill="1" applyAlignment="1">
      <alignment wrapText="1"/>
    </xf>
    <xf numFmtId="3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vertical="center"/>
    </xf>
  </cellXfs>
  <cellStyles count="5">
    <cellStyle name="Comma" xfId="3" builtinId="3"/>
    <cellStyle name="Comma_Giay de nghi thanh toan tai chinh" xfId="4" xr:uid="{00000000-0005-0000-0000-000001000000}"/>
    <cellStyle name="Normal" xfId="0" builtinId="0"/>
    <cellStyle name="Normal_TQT Nam 2017 ngay 12-5-2017-DC" xfId="1" xr:uid="{00000000-0005-0000-0000-000003000000}"/>
    <cellStyle name="Style 1" xfId="2" xr:uid="{00000000-0005-0000-0000-000005000000}"/>
  </cellStyles>
  <dxfs count="0"/>
  <tableStyles count="0" defaultTableStyle="TableStyleMedium2" defaultPivotStyle="PivotStyleLight16"/>
  <colors>
    <mruColors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24</xdr:row>
      <xdr:rowOff>28575</xdr:rowOff>
    </xdr:from>
    <xdr:to>
      <xdr:col>6</xdr:col>
      <xdr:colOff>466725</xdr:colOff>
      <xdr:row>32</xdr:row>
      <xdr:rowOff>114300</xdr:rowOff>
    </xdr:to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BA1D8B47-48AC-4620-AD88-C842EF9F1BCA}"/>
            </a:ext>
          </a:extLst>
        </xdr:cNvPr>
        <xdr:cNvSpPr txBox="1"/>
      </xdr:nvSpPr>
      <xdr:spPr>
        <a:xfrm>
          <a:off x="104775" y="14038984"/>
          <a:ext cx="2613314" cy="187815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NGƯỜI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LẬP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Trung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tá Phạm Minh Trường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104775</xdr:colOff>
      <xdr:row>24</xdr:row>
      <xdr:rowOff>28575</xdr:rowOff>
    </xdr:from>
    <xdr:to>
      <xdr:col>6</xdr:col>
      <xdr:colOff>466725</xdr:colOff>
      <xdr:row>32</xdr:row>
      <xdr:rowOff>114300</xdr:rowOff>
    </xdr:to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2F35DD58-FAA6-4DD7-8F75-88963E5F1552}"/>
            </a:ext>
          </a:extLst>
        </xdr:cNvPr>
        <xdr:cNvSpPr txBox="1"/>
      </xdr:nvSpPr>
      <xdr:spPr>
        <a:xfrm>
          <a:off x="104775" y="14038984"/>
          <a:ext cx="2613314" cy="187815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NGƯỜI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LẬP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Trung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tá Phạm Minh Trường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104775</xdr:colOff>
      <xdr:row>24</xdr:row>
      <xdr:rowOff>81395</xdr:rowOff>
    </xdr:from>
    <xdr:to>
      <xdr:col>6</xdr:col>
      <xdr:colOff>466725</xdr:colOff>
      <xdr:row>32</xdr:row>
      <xdr:rowOff>167120</xdr:rowOff>
    </xdr:to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9F89A106-0622-46FA-A023-14E4833C5291}"/>
            </a:ext>
          </a:extLst>
        </xdr:cNvPr>
        <xdr:cNvSpPr txBox="1"/>
      </xdr:nvSpPr>
      <xdr:spPr>
        <a:xfrm>
          <a:off x="104775" y="14091804"/>
          <a:ext cx="2613314" cy="187815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NGƯỜI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LẬP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</xdr:txBody>
    </xdr:sp>
    <xdr:clientData/>
  </xdr:twoCellAnchor>
  <xdr:twoCellAnchor>
    <xdr:from>
      <xdr:col>6</xdr:col>
      <xdr:colOff>736021</xdr:colOff>
      <xdr:row>24</xdr:row>
      <xdr:rowOff>71871</xdr:rowOff>
    </xdr:from>
    <xdr:to>
      <xdr:col>7</xdr:col>
      <xdr:colOff>1063335</xdr:colOff>
      <xdr:row>32</xdr:row>
      <xdr:rowOff>81396</xdr:rowOff>
    </xdr:to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48E0B0C5-7065-45B5-BC2C-CB717BD31EDE}"/>
            </a:ext>
          </a:extLst>
        </xdr:cNvPr>
        <xdr:cNvSpPr txBox="1"/>
      </xdr:nvSpPr>
      <xdr:spPr>
        <a:xfrm>
          <a:off x="2987385" y="14082280"/>
          <a:ext cx="3098223" cy="180195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300" i="1">
              <a:latin typeface="+mj-lt"/>
            </a:rPr>
            <a:t>Ngày </a:t>
          </a:r>
          <a:r>
            <a:rPr lang="en-US" sz="1300" i="1" baseline="0">
              <a:latin typeface="+mj-lt"/>
            </a:rPr>
            <a:t>  </a:t>
          </a:r>
          <a:r>
            <a:rPr lang="vi-VN" sz="1300" i="1">
              <a:latin typeface="+mj-lt"/>
            </a:rPr>
            <a:t>tháng </a:t>
          </a:r>
          <a:r>
            <a:rPr lang="en-US" sz="1300" i="1">
              <a:latin typeface="+mj-lt"/>
            </a:rPr>
            <a:t> </a:t>
          </a:r>
          <a:r>
            <a:rPr lang="vi-VN" sz="1300" i="1">
              <a:latin typeface="+mj-lt"/>
            </a:rPr>
            <a:t>năm 202</a:t>
          </a:r>
          <a:r>
            <a:rPr lang="en-US" sz="1300" i="1">
              <a:latin typeface="+mj-lt"/>
            </a:rPr>
            <a:t>6</a:t>
          </a: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THỦ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TRƯỞNG ĐƠN VỊ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424295</xdr:colOff>
      <xdr:row>16</xdr:row>
      <xdr:rowOff>86591</xdr:rowOff>
    </xdr:from>
    <xdr:to>
      <xdr:col>6</xdr:col>
      <xdr:colOff>2519795</xdr:colOff>
      <xdr:row>21</xdr:row>
      <xdr:rowOff>147205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id="{B9F83239-3607-4747-AC6D-809525EF8F6A}"/>
            </a:ext>
          </a:extLst>
        </xdr:cNvPr>
        <xdr:cNvCxnSpPr/>
      </xdr:nvCxnSpPr>
      <xdr:spPr>
        <a:xfrm>
          <a:off x="2675659" y="4970318"/>
          <a:ext cx="2095500" cy="13075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3</xdr:row>
      <xdr:rowOff>19050</xdr:rowOff>
    </xdr:from>
    <xdr:to>
      <xdr:col>3</xdr:col>
      <xdr:colOff>0</xdr:colOff>
      <xdr:row>4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5E347F2-44C1-43F8-8A77-BF554813CA83}"/>
            </a:ext>
          </a:extLst>
        </xdr:cNvPr>
        <xdr:cNvCxnSpPr/>
      </xdr:nvCxnSpPr>
      <xdr:spPr>
        <a:xfrm>
          <a:off x="1933575" y="771525"/>
          <a:ext cx="1304925" cy="30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</xdr:row>
      <xdr:rowOff>19050</xdr:rowOff>
    </xdr:from>
    <xdr:to>
      <xdr:col>3</xdr:col>
      <xdr:colOff>9525</xdr:colOff>
      <xdr:row>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B7CFAB0-5324-4EE6-9A11-D6083C275D29}"/>
            </a:ext>
          </a:extLst>
        </xdr:cNvPr>
        <xdr:cNvCxnSpPr/>
      </xdr:nvCxnSpPr>
      <xdr:spPr>
        <a:xfrm flipH="1">
          <a:off x="1943100" y="771525"/>
          <a:ext cx="1304925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28575</xdr:rowOff>
    </xdr:from>
    <xdr:to>
      <xdr:col>2</xdr:col>
      <xdr:colOff>495299</xdr:colOff>
      <xdr:row>32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8BBD90-FE60-40A3-B5AC-CE3144C4F09E}"/>
            </a:ext>
          </a:extLst>
        </xdr:cNvPr>
        <xdr:cNvSpPr txBox="1"/>
      </xdr:nvSpPr>
      <xdr:spPr>
        <a:xfrm>
          <a:off x="0" y="7038975"/>
          <a:ext cx="2438399" cy="18859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300" b="1">
            <a:latin typeface="+mj-lt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NGƯỜI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LẬP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</xdr:txBody>
    </xdr:sp>
    <xdr:clientData/>
  </xdr:twoCellAnchor>
  <xdr:twoCellAnchor>
    <xdr:from>
      <xdr:col>2</xdr:col>
      <xdr:colOff>1142999</xdr:colOff>
      <xdr:row>23</xdr:row>
      <xdr:rowOff>28575</xdr:rowOff>
    </xdr:from>
    <xdr:to>
      <xdr:col>4</xdr:col>
      <xdr:colOff>1047750</xdr:colOff>
      <xdr:row>32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AB7655-16FD-45FC-99A8-123B03C77237}"/>
            </a:ext>
          </a:extLst>
        </xdr:cNvPr>
        <xdr:cNvSpPr txBox="1"/>
      </xdr:nvSpPr>
      <xdr:spPr>
        <a:xfrm>
          <a:off x="3086099" y="7038975"/>
          <a:ext cx="2514601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300" i="1">
              <a:latin typeface="+mj-lt"/>
            </a:rPr>
            <a:t>Ngày </a:t>
          </a:r>
          <a:r>
            <a:rPr lang="en-US" sz="1300" i="1" baseline="0">
              <a:latin typeface="+mj-lt"/>
            </a:rPr>
            <a:t>    </a:t>
          </a:r>
          <a:r>
            <a:rPr lang="vi-VN" sz="1300" i="1">
              <a:latin typeface="+mj-lt"/>
            </a:rPr>
            <a:t>tháng </a:t>
          </a:r>
          <a:r>
            <a:rPr lang="en-US" sz="1300" i="1" baseline="0">
              <a:latin typeface="+mj-lt"/>
            </a:rPr>
            <a:t>   </a:t>
          </a:r>
          <a:r>
            <a:rPr lang="vi-VN" sz="1300" i="1">
              <a:latin typeface="+mj-lt"/>
            </a:rPr>
            <a:t>năm 202</a:t>
          </a:r>
          <a:r>
            <a:rPr lang="en-US" sz="1300" i="1">
              <a:latin typeface="+mj-lt"/>
            </a:rPr>
            <a:t>6</a:t>
          </a: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THỦ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TRƯỞNG ĐƠN VỊ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  <a:p>
          <a:pPr algn="ctr"/>
          <a:endParaRPr lang="en-US" sz="1300" b="1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19050</xdr:rowOff>
    </xdr:from>
    <xdr:to>
      <xdr:col>3</xdr:col>
      <xdr:colOff>9525</xdr:colOff>
      <xdr:row>14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1C70AE3-90C0-4C72-94A2-1751CAFF09BF}"/>
            </a:ext>
          </a:extLst>
        </xdr:cNvPr>
        <xdr:cNvCxnSpPr/>
      </xdr:nvCxnSpPr>
      <xdr:spPr>
        <a:xfrm>
          <a:off x="1619250" y="3448050"/>
          <a:ext cx="619125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438150</xdr:colOff>
      <xdr:row>2</xdr:row>
      <xdr:rowOff>0</xdr:rowOff>
    </xdr:from>
    <xdr:to>
      <xdr:col>2</xdr:col>
      <xdr:colOff>114300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868DA5-F434-41CF-98E5-B18F3A0F96BB}"/>
            </a:ext>
          </a:extLst>
        </xdr:cNvPr>
        <xdr:cNvCxnSpPr/>
      </xdr:nvCxnSpPr>
      <xdr:spPr>
        <a:xfrm flipV="1">
          <a:off x="438150" y="419100"/>
          <a:ext cx="1295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VnToolsExcel\VnTools-Exce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zoomScale="130" zoomScaleNormal="130" workbookViewId="0">
      <selection activeCell="H5" sqref="H5"/>
    </sheetView>
  </sheetViews>
  <sheetFormatPr defaultColWidth="9" defaultRowHeight="15" x14ac:dyDescent="0.25"/>
  <cols>
    <col min="1" max="1" width="4" style="54" customWidth="1"/>
    <col min="2" max="2" width="12.140625" style="54" customWidth="1"/>
    <col min="3" max="3" width="10.7109375" style="70" customWidth="1"/>
    <col min="4" max="4" width="12.140625" style="70" customWidth="1"/>
    <col min="5" max="6" width="10.28515625" style="70" customWidth="1"/>
    <col min="7" max="7" width="10.7109375" style="70" customWidth="1"/>
    <col min="8" max="8" width="11.140625" style="70" customWidth="1"/>
    <col min="9" max="9" width="12.5703125" style="54" customWidth="1"/>
    <col min="10" max="10" width="12" style="54" customWidth="1"/>
    <col min="11" max="11" width="15.5703125" style="54" customWidth="1"/>
    <col min="12" max="12" width="6.140625" style="54" customWidth="1"/>
    <col min="13" max="16384" width="9" style="54"/>
  </cols>
  <sheetData>
    <row r="1" spans="1:12" ht="16.5" x14ac:dyDescent="0.25">
      <c r="A1" s="179" t="s">
        <v>126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12" x14ac:dyDescent="0.25">
      <c r="A2" s="178" t="s">
        <v>74</v>
      </c>
      <c r="B2" s="178"/>
      <c r="C2" s="178"/>
      <c r="D2" s="178"/>
      <c r="E2" s="178"/>
      <c r="F2" s="178"/>
      <c r="G2" s="178"/>
      <c r="H2" s="178"/>
      <c r="I2" s="178"/>
    </row>
    <row r="3" spans="1:12" ht="0.75" customHeight="1" x14ac:dyDescent="0.25">
      <c r="A3" s="62"/>
      <c r="B3" s="62"/>
      <c r="C3" s="69"/>
      <c r="D3" s="69"/>
      <c r="E3" s="69"/>
      <c r="F3" s="69"/>
      <c r="G3" s="69"/>
      <c r="H3" s="69"/>
      <c r="I3" s="63"/>
    </row>
    <row r="4" spans="1:12" ht="15" customHeight="1" x14ac:dyDescent="0.25">
      <c r="A4" s="176" t="s">
        <v>39</v>
      </c>
      <c r="B4" s="176" t="s">
        <v>94</v>
      </c>
      <c r="C4" s="180" t="s">
        <v>95</v>
      </c>
      <c r="D4" s="184" t="s">
        <v>96</v>
      </c>
      <c r="E4" s="184"/>
      <c r="F4" s="184"/>
      <c r="G4" s="184"/>
      <c r="H4" s="184"/>
      <c r="I4" s="182" t="s">
        <v>9</v>
      </c>
      <c r="J4" s="184" t="s">
        <v>99</v>
      </c>
      <c r="K4" s="184"/>
      <c r="L4" s="182" t="s">
        <v>100</v>
      </c>
    </row>
    <row r="5" spans="1:12" ht="25.5" customHeight="1" x14ac:dyDescent="0.25">
      <c r="A5" s="176"/>
      <c r="B5" s="176"/>
      <c r="C5" s="181"/>
      <c r="D5" s="71" t="s">
        <v>10</v>
      </c>
      <c r="E5" s="71" t="s">
        <v>97</v>
      </c>
      <c r="F5" s="71" t="s">
        <v>98</v>
      </c>
      <c r="G5" s="71" t="s">
        <v>73</v>
      </c>
      <c r="H5" s="71" t="s">
        <v>11</v>
      </c>
      <c r="I5" s="183"/>
      <c r="J5" s="64" t="s">
        <v>12</v>
      </c>
      <c r="K5" s="65" t="s">
        <v>75</v>
      </c>
      <c r="L5" s="183"/>
    </row>
    <row r="6" spans="1:12" ht="30" customHeight="1" x14ac:dyDescent="0.25">
      <c r="A6" s="72">
        <v>1</v>
      </c>
      <c r="B6" s="75"/>
      <c r="C6" s="72"/>
      <c r="D6" s="77"/>
      <c r="E6" s="77"/>
      <c r="F6" s="77"/>
      <c r="G6" s="77"/>
      <c r="H6" s="77"/>
      <c r="I6" s="74"/>
      <c r="J6" s="74"/>
      <c r="K6" s="74"/>
      <c r="L6" s="78"/>
    </row>
    <row r="7" spans="1:12" s="66" customFormat="1" ht="30" customHeight="1" x14ac:dyDescent="0.25">
      <c r="A7" s="72">
        <v>2</v>
      </c>
      <c r="B7" s="76"/>
      <c r="C7" s="72"/>
      <c r="D7" s="77"/>
      <c r="E7" s="77"/>
      <c r="F7" s="77"/>
      <c r="G7" s="77"/>
      <c r="H7" s="77"/>
      <c r="I7" s="74"/>
      <c r="J7" s="74"/>
      <c r="K7" s="74"/>
      <c r="L7" s="78"/>
    </row>
    <row r="8" spans="1:12" s="66" customFormat="1" ht="30" customHeight="1" x14ac:dyDescent="0.25">
      <c r="A8" s="72">
        <v>3</v>
      </c>
      <c r="B8" s="76"/>
      <c r="C8" s="72"/>
      <c r="D8" s="77"/>
      <c r="E8" s="77"/>
      <c r="F8" s="77"/>
      <c r="G8" s="77"/>
      <c r="H8" s="77"/>
      <c r="I8" s="74"/>
      <c r="J8" s="74"/>
      <c r="K8" s="74"/>
      <c r="L8" s="78"/>
    </row>
    <row r="9" spans="1:12" s="66" customFormat="1" ht="30" customHeight="1" x14ac:dyDescent="0.25">
      <c r="A9" s="72">
        <v>8</v>
      </c>
      <c r="B9" s="73"/>
      <c r="C9" s="72"/>
      <c r="D9" s="77"/>
      <c r="E9" s="77"/>
      <c r="F9" s="77"/>
      <c r="G9" s="77"/>
      <c r="H9" s="77"/>
      <c r="I9" s="74"/>
      <c r="J9" s="74"/>
      <c r="K9" s="74"/>
      <c r="L9" s="78"/>
    </row>
    <row r="10" spans="1:12" s="66" customFormat="1" ht="30" customHeight="1" x14ac:dyDescent="0.25">
      <c r="A10" s="72">
        <v>4</v>
      </c>
      <c r="B10" s="76"/>
      <c r="C10" s="72"/>
      <c r="D10" s="77"/>
      <c r="E10" s="77"/>
      <c r="F10" s="77"/>
      <c r="G10" s="77"/>
      <c r="H10" s="77"/>
      <c r="I10" s="74"/>
      <c r="J10" s="74"/>
      <c r="K10" s="74"/>
      <c r="L10" s="78"/>
    </row>
    <row r="11" spans="1:12" s="66" customFormat="1" ht="30" customHeight="1" x14ac:dyDescent="0.25">
      <c r="A11" s="72">
        <v>5</v>
      </c>
      <c r="B11" s="76"/>
      <c r="C11" s="72"/>
      <c r="D11" s="77"/>
      <c r="E11" s="77"/>
      <c r="F11" s="77"/>
      <c r="G11" s="77"/>
      <c r="H11" s="77"/>
      <c r="I11" s="74"/>
      <c r="J11" s="74"/>
      <c r="K11" s="74"/>
      <c r="L11" s="78"/>
    </row>
    <row r="12" spans="1:12" s="66" customFormat="1" ht="30" customHeight="1" x14ac:dyDescent="0.25">
      <c r="A12" s="72">
        <v>6</v>
      </c>
      <c r="B12" s="73"/>
      <c r="C12" s="72"/>
      <c r="D12" s="77"/>
      <c r="E12" s="77"/>
      <c r="F12" s="77"/>
      <c r="G12" s="77"/>
      <c r="H12" s="77"/>
      <c r="I12" s="74"/>
      <c r="J12" s="74"/>
      <c r="K12" s="74"/>
      <c r="L12" s="78"/>
    </row>
    <row r="13" spans="1:12" s="66" customFormat="1" ht="30" customHeight="1" x14ac:dyDescent="0.25">
      <c r="A13" s="72">
        <v>7</v>
      </c>
      <c r="B13" s="73"/>
      <c r="C13" s="72"/>
      <c r="D13" s="77"/>
      <c r="E13" s="77"/>
      <c r="F13" s="77"/>
      <c r="G13" s="77"/>
      <c r="H13" s="77"/>
      <c r="I13" s="74"/>
      <c r="J13" s="74"/>
      <c r="K13" s="74"/>
      <c r="L13" s="78"/>
    </row>
    <row r="14" spans="1:12" s="66" customFormat="1" ht="30" customHeight="1" x14ac:dyDescent="0.25">
      <c r="A14" s="72">
        <v>9</v>
      </c>
      <c r="B14" s="73"/>
      <c r="C14" s="72"/>
      <c r="D14" s="77"/>
      <c r="E14" s="77"/>
      <c r="F14" s="77"/>
      <c r="G14" s="77"/>
      <c r="H14" s="77"/>
      <c r="I14" s="74"/>
      <c r="J14" s="74"/>
      <c r="K14" s="74"/>
      <c r="L14" s="78"/>
    </row>
    <row r="15" spans="1:12" s="66" customFormat="1" ht="30" customHeight="1" x14ac:dyDescent="0.2">
      <c r="A15" s="67"/>
      <c r="B15" s="61" t="s">
        <v>6</v>
      </c>
      <c r="C15" s="61"/>
      <c r="D15" s="68">
        <f t="shared" ref="D15:K15" si="0">SUM(D6:D14)</f>
        <v>0</v>
      </c>
      <c r="E15" s="68">
        <f t="shared" si="0"/>
        <v>0</v>
      </c>
      <c r="F15" s="68">
        <f t="shared" si="0"/>
        <v>0</v>
      </c>
      <c r="G15" s="68">
        <f t="shared" si="0"/>
        <v>0</v>
      </c>
      <c r="H15" s="68">
        <f t="shared" si="0"/>
        <v>0</v>
      </c>
      <c r="I15" s="68">
        <f t="shared" si="0"/>
        <v>0</v>
      </c>
      <c r="J15" s="68">
        <f t="shared" si="0"/>
        <v>0</v>
      </c>
      <c r="K15" s="68">
        <f t="shared" si="0"/>
        <v>0</v>
      </c>
      <c r="L15" s="78"/>
    </row>
  </sheetData>
  <mergeCells count="9">
    <mergeCell ref="A2:I2"/>
    <mergeCell ref="A4:A5"/>
    <mergeCell ref="B4:B5"/>
    <mergeCell ref="A1:L1"/>
    <mergeCell ref="C4:C5"/>
    <mergeCell ref="I4:I5"/>
    <mergeCell ref="D4:H4"/>
    <mergeCell ref="J4:K4"/>
    <mergeCell ref="L4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"/>
  <sheetViews>
    <sheetView zoomScaleNormal="100" workbookViewId="0">
      <selection activeCell="D15" sqref="D15"/>
    </sheetView>
  </sheetViews>
  <sheetFormatPr defaultRowHeight="12" x14ac:dyDescent="0.2"/>
  <cols>
    <col min="1" max="1" width="4.42578125" style="87" customWidth="1"/>
    <col min="2" max="2" width="14.7109375" style="87" customWidth="1"/>
    <col min="3" max="3" width="15" style="87" customWidth="1"/>
    <col min="4" max="4" width="20" style="87" customWidth="1"/>
    <col min="5" max="5" width="14.7109375" style="87" customWidth="1"/>
    <col min="6" max="6" width="16.42578125" style="112" customWidth="1"/>
    <col min="7" max="7" width="16.140625" style="87" customWidth="1"/>
    <col min="8" max="8" width="17.5703125" style="87" customWidth="1"/>
    <col min="9" max="9" width="16.140625" style="112" customWidth="1"/>
    <col min="10" max="11" width="17" style="87" customWidth="1"/>
    <col min="12" max="12" width="19.42578125" style="87" customWidth="1"/>
    <col min="13" max="13" width="16.7109375" style="87" customWidth="1"/>
    <col min="14" max="14" width="14.5703125" style="87" customWidth="1"/>
    <col min="15" max="15" width="15" style="87" customWidth="1"/>
    <col min="16" max="17" width="14.7109375" style="87" customWidth="1"/>
    <col min="18" max="16384" width="9.140625" style="87"/>
  </cols>
  <sheetData>
    <row r="1" spans="1:17" ht="14.25" x14ac:dyDescent="0.2">
      <c r="A1" s="187" t="s">
        <v>50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91"/>
      <c r="N1" s="91"/>
      <c r="O1" s="91"/>
      <c r="P1" s="91"/>
      <c r="Q1" s="91"/>
    </row>
    <row r="2" spans="1:17" ht="14.25" x14ac:dyDescent="0.2">
      <c r="A2" s="188" t="s">
        <v>127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13"/>
      <c r="N2" s="113"/>
      <c r="O2" s="113"/>
      <c r="P2" s="113"/>
      <c r="Q2" s="113"/>
    </row>
    <row r="3" spans="1:17" ht="15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14"/>
      <c r="N3" s="114"/>
      <c r="O3" s="114"/>
      <c r="P3" s="114"/>
      <c r="Q3" s="114"/>
    </row>
    <row r="4" spans="1:17" ht="4.5" customHeight="1" x14ac:dyDescent="0.2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</row>
    <row r="5" spans="1:17" ht="20.25" customHeight="1" x14ac:dyDescent="0.2">
      <c r="A5" s="88" t="s">
        <v>26</v>
      </c>
      <c r="B5" s="192" t="s">
        <v>128</v>
      </c>
      <c r="C5" s="192"/>
      <c r="D5" s="192"/>
      <c r="E5" s="192"/>
      <c r="F5" s="192"/>
      <c r="G5" s="192"/>
      <c r="H5" s="192"/>
      <c r="I5" s="192"/>
      <c r="J5" s="89"/>
      <c r="K5" s="89"/>
      <c r="L5" s="51"/>
    </row>
    <row r="6" spans="1:17" s="91" customFormat="1" ht="17.25" customHeight="1" x14ac:dyDescent="0.25">
      <c r="A6" s="90" t="s">
        <v>27</v>
      </c>
      <c r="B6" s="91" t="s">
        <v>51</v>
      </c>
      <c r="F6" s="92"/>
      <c r="I6" s="92"/>
      <c r="L6" s="50">
        <f>L28</f>
        <v>0</v>
      </c>
    </row>
    <row r="7" spans="1:17" ht="24" customHeight="1" x14ac:dyDescent="0.2">
      <c r="A7" s="191" t="s">
        <v>39</v>
      </c>
      <c r="B7" s="177" t="s">
        <v>8</v>
      </c>
      <c r="C7" s="185" t="s">
        <v>49</v>
      </c>
      <c r="D7" s="185" t="s">
        <v>48</v>
      </c>
      <c r="E7" s="198" t="s">
        <v>43</v>
      </c>
      <c r="F7" s="198" t="s">
        <v>41</v>
      </c>
      <c r="G7" s="198"/>
      <c r="H7" s="198"/>
      <c r="I7" s="204" t="s">
        <v>45</v>
      </c>
      <c r="J7" s="203" t="s">
        <v>104</v>
      </c>
      <c r="K7" s="203" t="s">
        <v>93</v>
      </c>
      <c r="L7" s="203" t="s">
        <v>44</v>
      </c>
      <c r="M7" s="205" t="s">
        <v>101</v>
      </c>
      <c r="N7" s="205"/>
      <c r="O7" s="205"/>
      <c r="P7" s="205" t="s">
        <v>116</v>
      </c>
      <c r="Q7" s="205"/>
    </row>
    <row r="8" spans="1:17" ht="24" customHeight="1" x14ac:dyDescent="0.2">
      <c r="A8" s="191"/>
      <c r="B8" s="177"/>
      <c r="C8" s="186"/>
      <c r="D8" s="186"/>
      <c r="E8" s="198"/>
      <c r="F8" s="93" t="s">
        <v>47</v>
      </c>
      <c r="G8" s="94" t="s">
        <v>40</v>
      </c>
      <c r="H8" s="95" t="s">
        <v>46</v>
      </c>
      <c r="I8" s="204"/>
      <c r="J8" s="203"/>
      <c r="K8" s="203"/>
      <c r="L8" s="203"/>
      <c r="M8" s="96" t="s">
        <v>119</v>
      </c>
      <c r="N8" s="137" t="s">
        <v>43</v>
      </c>
      <c r="O8" s="96" t="s">
        <v>76</v>
      </c>
      <c r="P8" s="96" t="s">
        <v>12</v>
      </c>
      <c r="Q8" s="96" t="s">
        <v>76</v>
      </c>
    </row>
    <row r="9" spans="1:17" ht="21" customHeight="1" x14ac:dyDescent="0.2">
      <c r="A9" s="80"/>
      <c r="B9" s="199"/>
      <c r="C9" s="200"/>
      <c r="D9" s="97"/>
      <c r="E9" s="79"/>
      <c r="F9" s="79"/>
      <c r="G9" s="79"/>
      <c r="H9" s="79"/>
      <c r="I9" s="79"/>
      <c r="J9" s="79"/>
      <c r="K9" s="79"/>
      <c r="L9" s="79"/>
      <c r="M9" s="129"/>
      <c r="N9" s="129"/>
      <c r="O9" s="129"/>
      <c r="P9" s="79"/>
      <c r="Q9" s="79"/>
    </row>
    <row r="10" spans="1:17" ht="21.75" customHeight="1" x14ac:dyDescent="0.2">
      <c r="A10" s="201"/>
      <c r="B10" s="99"/>
      <c r="C10" s="98"/>
      <c r="D10" s="100"/>
      <c r="E10" s="194"/>
      <c r="F10" s="196"/>
      <c r="G10" s="194"/>
      <c r="H10" s="194"/>
      <c r="I10" s="196"/>
      <c r="J10" s="194"/>
      <c r="K10" s="194"/>
      <c r="L10" s="194"/>
      <c r="M10" s="193"/>
      <c r="N10" s="193"/>
      <c r="O10" s="193"/>
      <c r="P10" s="206"/>
      <c r="Q10" s="208"/>
    </row>
    <row r="11" spans="1:17" ht="21" customHeight="1" x14ac:dyDescent="0.2">
      <c r="A11" s="202"/>
      <c r="B11" s="99"/>
      <c r="C11" s="98"/>
      <c r="D11" s="100"/>
      <c r="E11" s="195"/>
      <c r="F11" s="197"/>
      <c r="G11" s="195"/>
      <c r="H11" s="195"/>
      <c r="I11" s="197"/>
      <c r="J11" s="195"/>
      <c r="K11" s="195"/>
      <c r="L11" s="195"/>
      <c r="M11" s="193"/>
      <c r="N11" s="193"/>
      <c r="O11" s="193"/>
      <c r="P11" s="207"/>
      <c r="Q11" s="208"/>
    </row>
    <row r="12" spans="1:17" ht="22.5" customHeight="1" x14ac:dyDescent="0.2">
      <c r="A12" s="98"/>
      <c r="B12" s="101"/>
      <c r="C12" s="98"/>
      <c r="D12" s="100"/>
      <c r="E12" s="102"/>
      <c r="F12" s="103"/>
      <c r="G12" s="102"/>
      <c r="H12" s="102"/>
      <c r="I12" s="103"/>
      <c r="J12" s="102"/>
      <c r="K12" s="102"/>
      <c r="L12" s="102"/>
      <c r="M12" s="136"/>
      <c r="N12" s="136"/>
      <c r="O12" s="136"/>
      <c r="P12" s="105"/>
      <c r="Q12" s="104"/>
    </row>
    <row r="13" spans="1:17" ht="22.5" customHeight="1" x14ac:dyDescent="0.2">
      <c r="A13" s="98"/>
      <c r="B13" s="101"/>
      <c r="C13" s="106"/>
      <c r="D13" s="100"/>
      <c r="E13" s="102"/>
      <c r="F13" s="103"/>
      <c r="G13" s="102"/>
      <c r="H13" s="102"/>
      <c r="I13" s="103"/>
      <c r="J13" s="102"/>
      <c r="K13" s="102"/>
      <c r="L13" s="102"/>
      <c r="M13" s="136"/>
      <c r="N13" s="136"/>
      <c r="O13" s="136"/>
      <c r="P13" s="105"/>
      <c r="Q13" s="104"/>
    </row>
    <row r="14" spans="1:17" ht="22.5" customHeight="1" x14ac:dyDescent="0.2">
      <c r="A14" s="98"/>
      <c r="B14" s="101"/>
      <c r="C14" s="106"/>
      <c r="D14" s="100"/>
      <c r="E14" s="102"/>
      <c r="F14" s="103"/>
      <c r="G14" s="102"/>
      <c r="H14" s="102"/>
      <c r="I14" s="103"/>
      <c r="J14" s="102"/>
      <c r="K14" s="102"/>
      <c r="L14" s="102"/>
      <c r="M14" s="136"/>
      <c r="N14" s="136"/>
      <c r="O14" s="136"/>
      <c r="P14" s="102"/>
      <c r="Q14" s="107"/>
    </row>
    <row r="15" spans="1:17" ht="22.5" customHeight="1" x14ac:dyDescent="0.2">
      <c r="A15" s="201"/>
      <c r="B15" s="101"/>
      <c r="C15" s="98"/>
      <c r="D15" s="100"/>
      <c r="E15" s="194"/>
      <c r="F15" s="196"/>
      <c r="G15" s="194"/>
      <c r="H15" s="194"/>
      <c r="I15" s="196"/>
      <c r="J15" s="194"/>
      <c r="K15" s="194"/>
      <c r="L15" s="194"/>
      <c r="M15" s="193"/>
      <c r="N15" s="193"/>
      <c r="O15" s="193"/>
      <c r="P15" s="194"/>
      <c r="Q15" s="193"/>
    </row>
    <row r="16" spans="1:17" ht="22.5" customHeight="1" x14ac:dyDescent="0.2">
      <c r="A16" s="202"/>
      <c r="B16" s="108"/>
      <c r="C16" s="98"/>
      <c r="D16" s="100"/>
      <c r="E16" s="195"/>
      <c r="F16" s="197"/>
      <c r="G16" s="195"/>
      <c r="H16" s="195"/>
      <c r="I16" s="197"/>
      <c r="J16" s="195"/>
      <c r="K16" s="195"/>
      <c r="L16" s="195"/>
      <c r="M16" s="193"/>
      <c r="N16" s="193"/>
      <c r="O16" s="193"/>
      <c r="P16" s="195"/>
      <c r="Q16" s="193"/>
    </row>
    <row r="17" spans="1:17" ht="22.5" customHeight="1" x14ac:dyDescent="0.2">
      <c r="A17" s="201"/>
      <c r="B17" s="108"/>
      <c r="C17" s="98"/>
      <c r="D17" s="100"/>
      <c r="E17" s="194"/>
      <c r="F17" s="196"/>
      <c r="G17" s="194"/>
      <c r="H17" s="194"/>
      <c r="I17" s="196"/>
      <c r="J17" s="194"/>
      <c r="K17" s="194"/>
      <c r="L17" s="194"/>
      <c r="M17" s="193"/>
      <c r="N17" s="193"/>
      <c r="O17" s="193"/>
      <c r="P17" s="209"/>
      <c r="Q17" s="193"/>
    </row>
    <row r="18" spans="1:17" ht="22.5" customHeight="1" x14ac:dyDescent="0.2">
      <c r="A18" s="202"/>
      <c r="B18" s="108"/>
      <c r="C18" s="98"/>
      <c r="D18" s="100"/>
      <c r="E18" s="195"/>
      <c r="F18" s="197"/>
      <c r="G18" s="195"/>
      <c r="H18" s="195"/>
      <c r="I18" s="197"/>
      <c r="J18" s="195"/>
      <c r="K18" s="195"/>
      <c r="L18" s="195"/>
      <c r="M18" s="193"/>
      <c r="N18" s="193"/>
      <c r="O18" s="193"/>
      <c r="P18" s="210"/>
      <c r="Q18" s="193"/>
    </row>
    <row r="19" spans="1:17" ht="22.5" customHeight="1" x14ac:dyDescent="0.2">
      <c r="A19" s="201"/>
      <c r="B19" s="108"/>
      <c r="C19" s="98"/>
      <c r="D19" s="100"/>
      <c r="E19" s="194"/>
      <c r="F19" s="196"/>
      <c r="G19" s="194"/>
      <c r="H19" s="194"/>
      <c r="I19" s="196"/>
      <c r="J19" s="194"/>
      <c r="K19" s="194"/>
      <c r="L19" s="194"/>
      <c r="M19" s="193"/>
      <c r="N19" s="193"/>
      <c r="O19" s="193"/>
      <c r="P19" s="194"/>
      <c r="Q19" s="193"/>
    </row>
    <row r="20" spans="1:17" ht="22.5" customHeight="1" x14ac:dyDescent="0.2">
      <c r="A20" s="202"/>
      <c r="B20" s="108"/>
      <c r="C20" s="98"/>
      <c r="D20" s="100"/>
      <c r="E20" s="195"/>
      <c r="F20" s="197"/>
      <c r="G20" s="195"/>
      <c r="H20" s="195"/>
      <c r="I20" s="197"/>
      <c r="J20" s="195"/>
      <c r="K20" s="195"/>
      <c r="L20" s="195"/>
      <c r="M20" s="193"/>
      <c r="N20" s="193"/>
      <c r="O20" s="193"/>
      <c r="P20" s="195"/>
      <c r="Q20" s="193"/>
    </row>
    <row r="21" spans="1:17" ht="22.5" customHeight="1" x14ac:dyDescent="0.2">
      <c r="A21" s="98"/>
      <c r="B21" s="108"/>
      <c r="C21" s="98"/>
      <c r="D21" s="100"/>
      <c r="E21" s="102"/>
      <c r="F21" s="103"/>
      <c r="G21" s="102"/>
      <c r="H21" s="102"/>
      <c r="I21" s="103"/>
      <c r="J21" s="102"/>
      <c r="K21" s="102"/>
      <c r="L21" s="102"/>
      <c r="M21" s="136"/>
      <c r="N21" s="139"/>
      <c r="O21" s="136"/>
      <c r="P21" s="105"/>
      <c r="Q21" s="104"/>
    </row>
    <row r="22" spans="1:17" ht="22.5" customHeight="1" x14ac:dyDescent="0.2">
      <c r="A22" s="98"/>
      <c r="B22" s="108"/>
      <c r="C22" s="98"/>
      <c r="D22" s="100"/>
      <c r="E22" s="102"/>
      <c r="F22" s="103"/>
      <c r="G22" s="102"/>
      <c r="H22" s="102"/>
      <c r="I22" s="103"/>
      <c r="J22" s="102"/>
      <c r="K22" s="102"/>
      <c r="L22" s="102"/>
      <c r="M22" s="136"/>
      <c r="N22" s="136"/>
      <c r="O22" s="136"/>
      <c r="P22" s="102"/>
      <c r="Q22" s="104"/>
    </row>
    <row r="23" spans="1:17" ht="22.5" customHeight="1" x14ac:dyDescent="0.2">
      <c r="A23" s="98"/>
      <c r="B23" s="117"/>
      <c r="C23" s="98"/>
      <c r="D23" s="100"/>
      <c r="E23" s="116"/>
      <c r="F23" s="103"/>
      <c r="G23" s="116"/>
      <c r="H23" s="116"/>
      <c r="I23" s="103"/>
      <c r="J23" s="116"/>
      <c r="K23" s="116"/>
      <c r="L23" s="116"/>
      <c r="M23" s="136"/>
      <c r="N23" s="136"/>
      <c r="O23" s="136"/>
      <c r="P23" s="116"/>
      <c r="Q23" s="104"/>
    </row>
    <row r="24" spans="1:17" ht="22.5" customHeight="1" x14ac:dyDescent="0.2">
      <c r="A24" s="98"/>
      <c r="B24" s="117"/>
      <c r="C24" s="98"/>
      <c r="D24" s="100"/>
      <c r="E24" s="116"/>
      <c r="F24" s="103"/>
      <c r="G24" s="116"/>
      <c r="H24" s="116"/>
      <c r="I24" s="103"/>
      <c r="J24" s="116"/>
      <c r="K24" s="116"/>
      <c r="L24" s="116"/>
      <c r="M24" s="136"/>
      <c r="N24" s="136"/>
      <c r="O24" s="136"/>
      <c r="P24" s="116"/>
      <c r="Q24" s="104"/>
    </row>
    <row r="25" spans="1:17" s="84" customFormat="1" ht="22.5" customHeight="1" x14ac:dyDescent="0.2">
      <c r="A25" s="80"/>
      <c r="B25" s="199"/>
      <c r="C25" s="200"/>
      <c r="D25" s="81"/>
      <c r="E25" s="15"/>
      <c r="F25" s="82"/>
      <c r="G25" s="15"/>
      <c r="H25" s="15"/>
      <c r="I25" s="82"/>
      <c r="J25" s="15"/>
      <c r="K25" s="15"/>
      <c r="L25" s="15"/>
      <c r="M25" s="15"/>
      <c r="N25" s="15"/>
      <c r="O25" s="15"/>
      <c r="P25" s="15"/>
      <c r="Q25" s="83"/>
    </row>
    <row r="26" spans="1:17" s="84" customFormat="1" ht="22.5" customHeight="1" x14ac:dyDescent="0.2">
      <c r="A26" s="80"/>
      <c r="B26" s="199"/>
      <c r="C26" s="200"/>
      <c r="D26" s="81"/>
      <c r="E26" s="15"/>
      <c r="F26" s="82"/>
      <c r="G26" s="15"/>
      <c r="H26" s="15"/>
      <c r="I26" s="82"/>
      <c r="J26" s="15"/>
      <c r="K26" s="15"/>
      <c r="L26" s="15"/>
      <c r="M26" s="15"/>
      <c r="N26" s="15"/>
      <c r="O26" s="15"/>
      <c r="P26" s="15"/>
      <c r="Q26" s="83"/>
    </row>
    <row r="27" spans="1:17" s="84" customFormat="1" ht="22.5" customHeight="1" x14ac:dyDescent="0.2">
      <c r="A27" s="80"/>
      <c r="B27" s="85"/>
      <c r="C27" s="86"/>
      <c r="D27" s="81"/>
      <c r="E27" s="15"/>
      <c r="F27" s="82"/>
      <c r="G27" s="15"/>
      <c r="H27" s="15"/>
      <c r="I27" s="82"/>
      <c r="J27" s="15"/>
      <c r="K27" s="15"/>
      <c r="L27" s="15"/>
      <c r="M27" s="15"/>
      <c r="N27" s="15"/>
      <c r="O27" s="15"/>
      <c r="P27" s="15"/>
      <c r="Q27" s="83"/>
    </row>
    <row r="28" spans="1:17" ht="22.5" customHeight="1" x14ac:dyDescent="0.2">
      <c r="A28" s="109"/>
      <c r="B28" s="177" t="s">
        <v>6</v>
      </c>
      <c r="C28" s="177"/>
      <c r="D28" s="15">
        <f>SUM(D10:D22)</f>
        <v>0</v>
      </c>
      <c r="E28" s="15">
        <f>E9+E25+E26+E27</f>
        <v>0</v>
      </c>
      <c r="F28" s="15">
        <f t="shared" ref="F28:Q28" si="0">F9+F25+F26+F27</f>
        <v>0</v>
      </c>
      <c r="G28" s="15">
        <f t="shared" si="0"/>
        <v>0</v>
      </c>
      <c r="H28" s="15">
        <f t="shared" si="0"/>
        <v>0</v>
      </c>
      <c r="I28" s="15">
        <f t="shared" si="0"/>
        <v>0</v>
      </c>
      <c r="J28" s="15">
        <f t="shared" si="0"/>
        <v>0</v>
      </c>
      <c r="K28" s="15">
        <f t="shared" si="0"/>
        <v>0</v>
      </c>
      <c r="L28" s="15">
        <f t="shared" si="0"/>
        <v>0</v>
      </c>
      <c r="M28" s="15">
        <f t="shared" si="0"/>
        <v>0</v>
      </c>
      <c r="N28" s="15">
        <f t="shared" si="0"/>
        <v>0</v>
      </c>
      <c r="O28" s="15">
        <f t="shared" si="0"/>
        <v>0</v>
      </c>
      <c r="P28" s="15">
        <f t="shared" si="0"/>
        <v>0</v>
      </c>
      <c r="Q28" s="15">
        <f t="shared" si="0"/>
        <v>0</v>
      </c>
    </row>
    <row r="29" spans="1:17" s="90" customFormat="1" ht="22.5" customHeight="1" x14ac:dyDescent="0.25">
      <c r="A29" s="88"/>
      <c r="B29" s="89"/>
      <c r="C29" s="88"/>
      <c r="D29" s="16"/>
      <c r="E29" s="16"/>
      <c r="F29" s="110"/>
      <c r="G29" s="16"/>
      <c r="H29" s="16"/>
      <c r="I29" s="110"/>
      <c r="J29" s="51"/>
      <c r="K29" s="51"/>
      <c r="L29" s="51">
        <f>L5-L6</f>
        <v>0</v>
      </c>
      <c r="M29" s="138"/>
      <c r="N29" s="122"/>
    </row>
    <row r="30" spans="1:17" s="90" customFormat="1" ht="24.95" customHeight="1" x14ac:dyDescent="0.25">
      <c r="A30" s="88"/>
      <c r="B30" s="89"/>
      <c r="C30" s="88"/>
      <c r="D30" s="16"/>
      <c r="E30" s="16"/>
      <c r="F30" s="110"/>
      <c r="G30" s="16"/>
      <c r="H30" s="16"/>
      <c r="I30" s="110"/>
      <c r="J30" s="51"/>
      <c r="K30" s="51"/>
      <c r="L30" s="51"/>
      <c r="M30" s="138"/>
      <c r="N30" s="111"/>
    </row>
    <row r="31" spans="1:17" s="90" customFormat="1" ht="24.95" customHeight="1" x14ac:dyDescent="0.25">
      <c r="A31" s="88"/>
      <c r="B31" s="89"/>
      <c r="C31" s="88"/>
      <c r="D31" s="16"/>
      <c r="E31" s="16"/>
      <c r="F31" s="110"/>
      <c r="G31" s="16"/>
      <c r="H31" s="16"/>
      <c r="I31" s="110"/>
      <c r="J31" s="51"/>
      <c r="K31" s="51"/>
      <c r="L31" s="51"/>
      <c r="M31" s="111"/>
      <c r="N31" s="111"/>
    </row>
  </sheetData>
  <mergeCells count="77">
    <mergeCell ref="M17:M18"/>
    <mergeCell ref="L15:L16"/>
    <mergeCell ref="I10:I11"/>
    <mergeCell ref="J7:J8"/>
    <mergeCell ref="K7:K8"/>
    <mergeCell ref="J10:J11"/>
    <mergeCell ref="K10:K11"/>
    <mergeCell ref="J15:J16"/>
    <mergeCell ref="K15:K16"/>
    <mergeCell ref="K17:K18"/>
    <mergeCell ref="O17:O18"/>
    <mergeCell ref="M19:M20"/>
    <mergeCell ref="O19:O20"/>
    <mergeCell ref="P7:Q7"/>
    <mergeCell ref="P10:P11"/>
    <mergeCell ref="Q10:Q11"/>
    <mergeCell ref="Q15:Q16"/>
    <mergeCell ref="Q17:Q18"/>
    <mergeCell ref="Q19:Q20"/>
    <mergeCell ref="P15:P16"/>
    <mergeCell ref="P17:P18"/>
    <mergeCell ref="P19:P20"/>
    <mergeCell ref="M7:O7"/>
    <mergeCell ref="M10:M11"/>
    <mergeCell ref="O10:O11"/>
    <mergeCell ref="M15:M16"/>
    <mergeCell ref="O15:O16"/>
    <mergeCell ref="B5:I5"/>
    <mergeCell ref="A4:L4"/>
    <mergeCell ref="E15:E16"/>
    <mergeCell ref="F15:F16"/>
    <mergeCell ref="G15:G16"/>
    <mergeCell ref="H15:H16"/>
    <mergeCell ref="L10:L11"/>
    <mergeCell ref="L7:L8"/>
    <mergeCell ref="D7:D8"/>
    <mergeCell ref="C7:C8"/>
    <mergeCell ref="I7:I8"/>
    <mergeCell ref="I15:I16"/>
    <mergeCell ref="N10:N11"/>
    <mergeCell ref="E19:E20"/>
    <mergeCell ref="F19:F20"/>
    <mergeCell ref="G19:G20"/>
    <mergeCell ref="H19:H20"/>
    <mergeCell ref="I19:I20"/>
    <mergeCell ref="B28:C28"/>
    <mergeCell ref="A7:A8"/>
    <mergeCell ref="B7:B8"/>
    <mergeCell ref="E7:E8"/>
    <mergeCell ref="F7:H7"/>
    <mergeCell ref="E10:E11"/>
    <mergeCell ref="F10:F11"/>
    <mergeCell ref="G10:G11"/>
    <mergeCell ref="H10:H11"/>
    <mergeCell ref="B25:C25"/>
    <mergeCell ref="B26:C26"/>
    <mergeCell ref="B9:C9"/>
    <mergeCell ref="A10:A11"/>
    <mergeCell ref="A15:A16"/>
    <mergeCell ref="A17:A18"/>
    <mergeCell ref="A19:A20"/>
    <mergeCell ref="N15:N16"/>
    <mergeCell ref="N17:N18"/>
    <mergeCell ref="N19:N20"/>
    <mergeCell ref="A1:L1"/>
    <mergeCell ref="A2:L2"/>
    <mergeCell ref="A3:L3"/>
    <mergeCell ref="L19:L20"/>
    <mergeCell ref="E17:E18"/>
    <mergeCell ref="F17:F18"/>
    <mergeCell ref="G17:G18"/>
    <mergeCell ref="H17:H18"/>
    <mergeCell ref="I17:I18"/>
    <mergeCell ref="L17:L18"/>
    <mergeCell ref="J19:J20"/>
    <mergeCell ref="K19:K20"/>
    <mergeCell ref="J17:J18"/>
  </mergeCells>
  <printOptions horizontalCentered="1"/>
  <pageMargins left="0.31" right="0.2" top="0.17" bottom="0.17" header="0.28999999999999998" footer="0.19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2"/>
  <sheetViews>
    <sheetView zoomScaleNormal="100" workbookViewId="0">
      <selection activeCell="G9" sqref="G9"/>
    </sheetView>
  </sheetViews>
  <sheetFormatPr defaultRowHeight="18.75" x14ac:dyDescent="0.3"/>
  <cols>
    <col min="1" max="1" width="9.28515625" style="369" customWidth="1"/>
    <col min="2" max="2" width="28.140625" style="370" customWidth="1"/>
    <col min="3" max="3" width="21.42578125" style="367" customWidth="1"/>
    <col min="4" max="4" width="17.28515625" style="368" customWidth="1"/>
    <col min="5" max="5" width="16.28515625" style="371" customWidth="1"/>
    <col min="6" max="6" width="17.5703125" style="372" customWidth="1"/>
    <col min="7" max="7" width="17.5703125" style="286" customWidth="1"/>
    <col min="8" max="8" width="17.5703125" style="372" customWidth="1"/>
    <col min="9" max="9" width="18" style="372" customWidth="1"/>
    <col min="10" max="10" width="17.140625" style="372" customWidth="1"/>
    <col min="11" max="11" width="18.140625" style="372" customWidth="1"/>
    <col min="12" max="12" width="16.7109375" style="372" customWidth="1"/>
    <col min="13" max="13" width="16.140625" style="372" customWidth="1"/>
    <col min="14" max="14" width="17.140625" style="372" customWidth="1"/>
    <col min="15" max="15" width="18.140625" style="372" customWidth="1"/>
    <col min="16" max="16" width="14.85546875" style="287" customWidth="1"/>
    <col min="17" max="17" width="15.85546875" style="287" customWidth="1"/>
    <col min="18" max="16384" width="9.140625" style="287"/>
  </cols>
  <sheetData>
    <row r="1" spans="1:15" x14ac:dyDescent="0.3">
      <c r="A1" s="283" t="s">
        <v>0</v>
      </c>
      <c r="B1" s="283"/>
      <c r="C1" s="283"/>
      <c r="D1" s="283"/>
      <c r="E1" s="283"/>
      <c r="F1" s="283"/>
      <c r="G1" s="283"/>
      <c r="H1" s="283"/>
      <c r="I1" s="283"/>
      <c r="J1" s="284"/>
      <c r="K1" s="284"/>
      <c r="L1" s="285"/>
      <c r="M1" s="285"/>
      <c r="N1" s="285"/>
      <c r="O1" s="286"/>
    </row>
    <row r="2" spans="1:15" x14ac:dyDescent="0.3">
      <c r="A2" s="290"/>
      <c r="B2" s="291"/>
      <c r="C2" s="292"/>
      <c r="D2" s="293"/>
      <c r="E2" s="291"/>
      <c r="F2" s="291"/>
      <c r="G2" s="291"/>
      <c r="H2" s="291"/>
      <c r="I2" s="291"/>
      <c r="J2" s="288"/>
      <c r="K2" s="289"/>
      <c r="L2" s="289"/>
      <c r="M2" s="289"/>
      <c r="N2" s="285"/>
      <c r="O2" s="286"/>
    </row>
    <row r="3" spans="1:15" s="140" customFormat="1" ht="31.5" customHeight="1" x14ac:dyDescent="0.25">
      <c r="A3" s="294"/>
      <c r="B3" s="295"/>
      <c r="C3" s="296"/>
      <c r="D3" s="297"/>
      <c r="E3" s="298"/>
      <c r="F3" s="299"/>
      <c r="G3" s="300"/>
      <c r="H3" s="143"/>
      <c r="I3" s="299"/>
      <c r="J3" s="300"/>
      <c r="K3" s="143"/>
      <c r="L3" s="299"/>
      <c r="M3" s="299"/>
      <c r="N3" s="299"/>
      <c r="O3" s="299"/>
    </row>
    <row r="4" spans="1:15" s="142" customFormat="1" ht="21" customHeight="1" x14ac:dyDescent="0.2">
      <c r="A4" s="301" t="s">
        <v>3</v>
      </c>
      <c r="B4" s="302" t="s">
        <v>1</v>
      </c>
      <c r="C4" s="303" t="s">
        <v>7</v>
      </c>
      <c r="D4" s="304" t="s">
        <v>2</v>
      </c>
      <c r="E4" s="305"/>
      <c r="F4" s="306" t="s">
        <v>43</v>
      </c>
      <c r="G4" s="307" t="s">
        <v>106</v>
      </c>
      <c r="H4" s="307"/>
      <c r="I4" s="307"/>
      <c r="J4" s="303" t="s">
        <v>45</v>
      </c>
      <c r="K4" s="303" t="s">
        <v>44</v>
      </c>
      <c r="L4" s="303" t="s">
        <v>120</v>
      </c>
      <c r="M4" s="303"/>
      <c r="N4" s="303" t="s">
        <v>116</v>
      </c>
      <c r="O4" s="303"/>
    </row>
    <row r="5" spans="1:15" s="142" customFormat="1" ht="30" customHeight="1" x14ac:dyDescent="0.2">
      <c r="A5" s="301"/>
      <c r="B5" s="302"/>
      <c r="C5" s="303"/>
      <c r="D5" s="304"/>
      <c r="E5" s="308"/>
      <c r="F5" s="309"/>
      <c r="G5" s="310" t="s">
        <v>42</v>
      </c>
      <c r="H5" s="311" t="s">
        <v>40</v>
      </c>
      <c r="I5" s="310" t="s">
        <v>105</v>
      </c>
      <c r="J5" s="303"/>
      <c r="K5" s="303"/>
      <c r="L5" s="312" t="s">
        <v>122</v>
      </c>
      <c r="M5" s="312" t="s">
        <v>123</v>
      </c>
      <c r="N5" s="312" t="s">
        <v>102</v>
      </c>
      <c r="O5" s="312" t="s">
        <v>121</v>
      </c>
    </row>
    <row r="6" spans="1:15" s="142" customFormat="1" ht="29.25" customHeight="1" x14ac:dyDescent="0.2">
      <c r="A6" s="302" t="s">
        <v>5</v>
      </c>
      <c r="B6" s="313"/>
      <c r="C6" s="314"/>
      <c r="D6" s="141" t="e">
        <f>D7+D25+#REF!+#REF!+#REF!</f>
        <v>#REF!</v>
      </c>
      <c r="E6" s="315"/>
      <c r="F6" s="141" t="e">
        <f>F7+F25+#REF!+#REF!+#REF!+F45</f>
        <v>#REF!</v>
      </c>
      <c r="G6" s="141" t="e">
        <f>G7+G25+#REF!+#REF!+#REF!+G45</f>
        <v>#REF!</v>
      </c>
      <c r="H6" s="141" t="e">
        <f>H7+H25+#REF!+#REF!+#REF!+H45</f>
        <v>#REF!</v>
      </c>
      <c r="I6" s="141" t="e">
        <f>F6+G6-H6</f>
        <v>#REF!</v>
      </c>
      <c r="J6" s="141" t="e">
        <f>F6-H6</f>
        <v>#REF!</v>
      </c>
      <c r="K6" s="141" t="e">
        <f>F6+G6-H6</f>
        <v>#REF!</v>
      </c>
      <c r="L6" s="141" t="e">
        <f>L7+L25+L45+#REF!+#REF!+#REF!</f>
        <v>#REF!</v>
      </c>
      <c r="M6" s="141" t="e">
        <f>F6-H6</f>
        <v>#REF!</v>
      </c>
      <c r="N6" s="141" t="e">
        <f>N7+N25+N45+#REF!+#REF!+#REF!</f>
        <v>#REF!</v>
      </c>
      <c r="O6" s="141" t="e">
        <f>O7+O25+O45+#REF!+#REF!+#REF!</f>
        <v>#REF!</v>
      </c>
    </row>
    <row r="7" spans="1:15" s="320" customFormat="1" ht="27.75" customHeight="1" x14ac:dyDescent="0.2">
      <c r="A7" s="316" t="s">
        <v>35</v>
      </c>
      <c r="B7" s="317" t="s">
        <v>36</v>
      </c>
      <c r="C7" s="318"/>
      <c r="D7" s="319">
        <f>SUM(D8:D20)</f>
        <v>0</v>
      </c>
      <c r="E7" s="315"/>
      <c r="F7" s="319">
        <f>F17+F8</f>
        <v>0</v>
      </c>
      <c r="G7" s="319">
        <f t="shared" ref="G7:N7" si="0">G17+G8</f>
        <v>0</v>
      </c>
      <c r="H7" s="319">
        <f t="shared" si="0"/>
        <v>0</v>
      </c>
      <c r="I7" s="319">
        <f t="shared" si="0"/>
        <v>0</v>
      </c>
      <c r="J7" s="319">
        <f t="shared" si="0"/>
        <v>0</v>
      </c>
      <c r="K7" s="319">
        <f t="shared" si="0"/>
        <v>0</v>
      </c>
      <c r="L7" s="319">
        <f t="shared" si="0"/>
        <v>0</v>
      </c>
      <c r="M7" s="319">
        <f t="shared" si="0"/>
        <v>0</v>
      </c>
      <c r="N7" s="319">
        <f t="shared" si="0"/>
        <v>0</v>
      </c>
      <c r="O7" s="319">
        <f>SUM(O8:O20)</f>
        <v>0</v>
      </c>
    </row>
    <row r="8" spans="1:15" s="142" customFormat="1" ht="32.25" customHeight="1" x14ac:dyDescent="0.2">
      <c r="A8" s="321"/>
      <c r="B8" s="322"/>
      <c r="C8" s="323"/>
      <c r="D8" s="144"/>
      <c r="E8" s="324"/>
      <c r="F8" s="145"/>
      <c r="G8" s="144"/>
      <c r="H8" s="144"/>
      <c r="I8" s="144"/>
      <c r="J8" s="144"/>
      <c r="K8" s="144"/>
      <c r="L8" s="144"/>
      <c r="M8" s="144"/>
      <c r="N8" s="144"/>
      <c r="O8" s="144"/>
    </row>
    <row r="9" spans="1:15" s="142" customFormat="1" ht="21.95" customHeight="1" x14ac:dyDescent="0.2">
      <c r="A9" s="321"/>
      <c r="B9" s="325"/>
      <c r="C9" s="323"/>
      <c r="D9" s="144"/>
      <c r="E9" s="326"/>
      <c r="F9" s="145"/>
      <c r="G9" s="145"/>
      <c r="H9" s="145"/>
      <c r="I9" s="145"/>
      <c r="J9" s="327"/>
      <c r="K9" s="145"/>
      <c r="L9" s="145"/>
      <c r="M9" s="145"/>
      <c r="N9" s="145"/>
      <c r="O9" s="145"/>
    </row>
    <row r="10" spans="1:15" s="320" customFormat="1" ht="21.95" customHeight="1" x14ac:dyDescent="0.2">
      <c r="A10" s="328"/>
      <c r="B10" s="325"/>
      <c r="C10" s="323"/>
      <c r="D10" s="144"/>
      <c r="E10" s="326"/>
      <c r="F10" s="329"/>
      <c r="G10" s="145"/>
      <c r="H10" s="145"/>
      <c r="I10" s="145"/>
      <c r="J10" s="330"/>
      <c r="K10" s="145"/>
      <c r="L10" s="329"/>
      <c r="M10" s="329"/>
      <c r="N10" s="329"/>
      <c r="O10" s="329"/>
    </row>
    <row r="11" spans="1:15" s="142" customFormat="1" ht="21.95" customHeight="1" x14ac:dyDescent="0.2">
      <c r="A11" s="321"/>
      <c r="B11" s="325"/>
      <c r="C11" s="323"/>
      <c r="D11" s="144"/>
      <c r="E11" s="326"/>
      <c r="F11" s="145"/>
      <c r="G11" s="145"/>
      <c r="H11" s="145"/>
      <c r="I11" s="145"/>
      <c r="J11" s="327"/>
      <c r="K11" s="145"/>
      <c r="L11" s="145"/>
      <c r="M11" s="145"/>
      <c r="N11" s="145"/>
      <c r="O11" s="145"/>
    </row>
    <row r="12" spans="1:15" s="142" customFormat="1" ht="21.95" customHeight="1" x14ac:dyDescent="0.2">
      <c r="A12" s="321"/>
      <c r="B12" s="325"/>
      <c r="C12" s="323"/>
      <c r="D12" s="144"/>
      <c r="E12" s="326"/>
      <c r="F12" s="145"/>
      <c r="G12" s="145"/>
      <c r="H12" s="145"/>
      <c r="I12" s="145"/>
      <c r="J12" s="327"/>
      <c r="K12" s="145"/>
      <c r="L12" s="145"/>
      <c r="M12" s="145"/>
      <c r="N12" s="145"/>
      <c r="O12" s="145"/>
    </row>
    <row r="13" spans="1:15" s="142" customFormat="1" ht="21.95" customHeight="1" x14ac:dyDescent="0.2">
      <c r="A13" s="321"/>
      <c r="B13" s="325"/>
      <c r="C13" s="323"/>
      <c r="D13" s="144"/>
      <c r="E13" s="326"/>
      <c r="F13" s="145"/>
      <c r="G13" s="145"/>
      <c r="H13" s="145"/>
      <c r="I13" s="145"/>
      <c r="J13" s="327"/>
      <c r="K13" s="145"/>
      <c r="L13" s="145"/>
      <c r="M13" s="145"/>
      <c r="N13" s="145"/>
      <c r="O13" s="145"/>
    </row>
    <row r="14" spans="1:15" s="142" customFormat="1" ht="21.95" customHeight="1" x14ac:dyDescent="0.2">
      <c r="A14" s="321"/>
      <c r="B14" s="325"/>
      <c r="C14" s="323"/>
      <c r="D14" s="144"/>
      <c r="E14" s="326"/>
      <c r="F14" s="145"/>
      <c r="G14" s="145"/>
      <c r="H14" s="145"/>
      <c r="I14" s="145"/>
      <c r="J14" s="327"/>
      <c r="K14" s="145"/>
      <c r="L14" s="145"/>
      <c r="M14" s="145"/>
      <c r="N14" s="145"/>
      <c r="O14" s="145"/>
    </row>
    <row r="15" spans="1:15" s="142" customFormat="1" ht="21.95" customHeight="1" x14ac:dyDescent="0.2">
      <c r="A15" s="321"/>
      <c r="B15" s="325"/>
      <c r="C15" s="323"/>
      <c r="D15" s="144"/>
      <c r="E15" s="326"/>
      <c r="F15" s="145"/>
      <c r="G15" s="145"/>
      <c r="H15" s="145"/>
      <c r="I15" s="145"/>
      <c r="J15" s="327"/>
      <c r="K15" s="145"/>
      <c r="L15" s="145"/>
      <c r="M15" s="145"/>
      <c r="N15" s="145"/>
      <c r="O15" s="145"/>
    </row>
    <row r="16" spans="1:15" s="142" customFormat="1" ht="21.95" customHeight="1" x14ac:dyDescent="0.2">
      <c r="A16" s="321"/>
      <c r="B16" s="331"/>
      <c r="C16" s="323"/>
      <c r="D16" s="144"/>
      <c r="E16" s="326"/>
      <c r="F16" s="145"/>
      <c r="G16" s="145"/>
      <c r="H16" s="145"/>
      <c r="I16" s="145"/>
      <c r="J16" s="327"/>
      <c r="K16" s="145"/>
      <c r="L16" s="145"/>
      <c r="M16" s="145"/>
      <c r="N16" s="145"/>
      <c r="O16" s="145"/>
    </row>
    <row r="17" spans="1:15" s="142" customFormat="1" ht="32.25" customHeight="1" x14ac:dyDescent="0.2">
      <c r="A17" s="321"/>
      <c r="B17" s="322"/>
      <c r="C17" s="323"/>
      <c r="D17" s="144"/>
      <c r="E17" s="324"/>
      <c r="F17" s="145"/>
      <c r="G17" s="144"/>
      <c r="H17" s="144"/>
      <c r="I17" s="144"/>
      <c r="J17" s="144"/>
      <c r="K17" s="144"/>
      <c r="L17" s="144"/>
      <c r="M17" s="144"/>
      <c r="N17" s="144"/>
      <c r="O17" s="144"/>
    </row>
    <row r="18" spans="1:15" s="142" customFormat="1" ht="21.95" customHeight="1" x14ac:dyDescent="0.2">
      <c r="A18" s="321"/>
      <c r="B18" s="332"/>
      <c r="C18" s="323"/>
      <c r="D18" s="144"/>
      <c r="E18" s="326"/>
      <c r="F18" s="145"/>
      <c r="G18" s="145"/>
      <c r="H18" s="333"/>
      <c r="I18" s="333"/>
      <c r="J18" s="327"/>
      <c r="K18" s="145"/>
      <c r="L18" s="145"/>
      <c r="M18" s="145"/>
      <c r="N18" s="145"/>
      <c r="O18" s="145"/>
    </row>
    <row r="19" spans="1:15" s="142" customFormat="1" ht="21.95" customHeight="1" x14ac:dyDescent="0.2">
      <c r="A19" s="321"/>
      <c r="B19" s="325"/>
      <c r="C19" s="323"/>
      <c r="D19" s="144"/>
      <c r="E19" s="326"/>
      <c r="F19" s="145"/>
      <c r="G19" s="145"/>
      <c r="H19" s="145"/>
      <c r="I19" s="145"/>
      <c r="J19" s="327"/>
      <c r="K19" s="145"/>
      <c r="L19" s="145"/>
      <c r="M19" s="145"/>
      <c r="N19" s="145"/>
      <c r="O19" s="145"/>
    </row>
    <row r="20" spans="1:15" s="142" customFormat="1" ht="21.95" customHeight="1" x14ac:dyDescent="0.2">
      <c r="A20" s="321"/>
      <c r="B20" s="325"/>
      <c r="C20" s="323"/>
      <c r="D20" s="144"/>
      <c r="E20" s="326"/>
      <c r="F20" s="145"/>
      <c r="G20" s="145"/>
      <c r="H20" s="145"/>
      <c r="I20" s="145"/>
      <c r="J20" s="327"/>
      <c r="K20" s="145"/>
      <c r="L20" s="145"/>
      <c r="M20" s="145"/>
      <c r="N20" s="145"/>
      <c r="O20" s="145"/>
    </row>
    <row r="21" spans="1:15" s="142" customFormat="1" ht="21.95" customHeight="1" x14ac:dyDescent="0.2">
      <c r="A21" s="321"/>
      <c r="B21" s="325"/>
      <c r="C21" s="323"/>
      <c r="D21" s="144"/>
      <c r="E21" s="326"/>
      <c r="F21" s="145"/>
      <c r="G21" s="145"/>
      <c r="H21" s="145"/>
      <c r="I21" s="145"/>
      <c r="J21" s="327"/>
      <c r="K21" s="145"/>
      <c r="L21" s="145"/>
      <c r="M21" s="145"/>
      <c r="N21" s="145"/>
      <c r="O21" s="145"/>
    </row>
    <row r="22" spans="1:15" s="142" customFormat="1" ht="21.95" customHeight="1" x14ac:dyDescent="0.2">
      <c r="A22" s="321"/>
      <c r="B22" s="325"/>
      <c r="C22" s="323"/>
      <c r="D22" s="144"/>
      <c r="E22" s="326"/>
      <c r="F22" s="145"/>
      <c r="G22" s="145"/>
      <c r="H22" s="145"/>
      <c r="I22" s="145"/>
      <c r="J22" s="327"/>
      <c r="K22" s="145"/>
      <c r="L22" s="145"/>
      <c r="M22" s="145"/>
      <c r="N22" s="145"/>
      <c r="O22" s="145"/>
    </row>
    <row r="23" spans="1:15" s="142" customFormat="1" ht="21.95" customHeight="1" x14ac:dyDescent="0.2">
      <c r="A23" s="321"/>
      <c r="B23" s="325"/>
      <c r="C23" s="323"/>
      <c r="D23" s="144"/>
      <c r="E23" s="326"/>
      <c r="F23" s="145"/>
      <c r="G23" s="145"/>
      <c r="H23" s="145"/>
      <c r="I23" s="145"/>
      <c r="J23" s="327"/>
      <c r="K23" s="145"/>
      <c r="L23" s="145"/>
      <c r="M23" s="145"/>
      <c r="N23" s="145"/>
      <c r="O23" s="145"/>
    </row>
    <row r="24" spans="1:15" s="142" customFormat="1" ht="21.95" customHeight="1" x14ac:dyDescent="0.2">
      <c r="A24" s="321"/>
      <c r="B24" s="331"/>
      <c r="C24" s="323"/>
      <c r="D24" s="144"/>
      <c r="E24" s="326"/>
      <c r="F24" s="145"/>
      <c r="G24" s="145"/>
      <c r="H24" s="145"/>
      <c r="I24" s="145"/>
      <c r="J24" s="327"/>
      <c r="K24" s="145"/>
      <c r="L24" s="145"/>
      <c r="M24" s="145"/>
      <c r="N24" s="145"/>
      <c r="O24" s="145"/>
    </row>
    <row r="25" spans="1:15" s="338" customFormat="1" ht="24.95" customHeight="1" x14ac:dyDescent="0.2">
      <c r="A25" s="334" t="s">
        <v>37</v>
      </c>
      <c r="B25" s="335" t="s">
        <v>38</v>
      </c>
      <c r="C25" s="336"/>
      <c r="D25" s="319">
        <f>SUM(D26:D44)</f>
        <v>0</v>
      </c>
      <c r="E25" s="315"/>
      <c r="F25" s="337">
        <f>SUM(F26:F44)</f>
        <v>0</v>
      </c>
      <c r="G25" s="337">
        <f t="shared" ref="G25:I25" si="1">SUM(G26:G44)</f>
        <v>0</v>
      </c>
      <c r="H25" s="337">
        <f t="shared" si="1"/>
        <v>0</v>
      </c>
      <c r="I25" s="337">
        <f t="shared" si="1"/>
        <v>0</v>
      </c>
      <c r="J25" s="337">
        <f>F25-H25</f>
        <v>0</v>
      </c>
      <c r="K25" s="337">
        <f>F25+G25-H25</f>
        <v>0</v>
      </c>
      <c r="L25" s="337">
        <f>SUM(L26:L43)</f>
        <v>0</v>
      </c>
      <c r="M25" s="337"/>
      <c r="N25" s="337">
        <f>SUM(N26:N43)</f>
        <v>0</v>
      </c>
      <c r="O25" s="337">
        <f>SUM(O26:O71)</f>
        <v>0</v>
      </c>
    </row>
    <row r="26" spans="1:15" s="142" customFormat="1" ht="34.5" customHeight="1" x14ac:dyDescent="0.2">
      <c r="A26" s="321"/>
      <c r="B26" s="211"/>
      <c r="C26" s="339"/>
      <c r="D26" s="340"/>
      <c r="E26" s="311"/>
      <c r="F26" s="145"/>
      <c r="G26" s="144"/>
      <c r="H26" s="145"/>
      <c r="I26" s="145"/>
      <c r="J26" s="145"/>
      <c r="K26" s="145"/>
      <c r="L26" s="145"/>
      <c r="M26" s="145"/>
      <c r="N26" s="145"/>
      <c r="O26" s="145"/>
    </row>
    <row r="27" spans="1:15" s="142" customFormat="1" ht="34.5" customHeight="1" x14ac:dyDescent="0.2">
      <c r="A27" s="321"/>
      <c r="B27" s="213"/>
      <c r="C27" s="341"/>
      <c r="D27" s="342"/>
      <c r="E27" s="150"/>
      <c r="F27" s="145"/>
      <c r="G27" s="145"/>
      <c r="H27" s="145"/>
      <c r="I27" s="145"/>
      <c r="J27" s="145"/>
      <c r="K27" s="145"/>
      <c r="L27" s="145"/>
      <c r="M27" s="145"/>
      <c r="N27" s="145"/>
      <c r="O27" s="145"/>
    </row>
    <row r="28" spans="1:15" s="142" customFormat="1" ht="33" customHeight="1" x14ac:dyDescent="0.2">
      <c r="A28" s="321"/>
      <c r="B28" s="211"/>
      <c r="C28" s="339"/>
      <c r="D28" s="343"/>
      <c r="E28" s="311"/>
      <c r="F28" s="145"/>
      <c r="G28" s="144"/>
      <c r="H28" s="145"/>
      <c r="I28" s="145"/>
      <c r="J28" s="145"/>
      <c r="K28" s="145"/>
      <c r="L28" s="145"/>
      <c r="M28" s="145"/>
      <c r="N28" s="145"/>
      <c r="O28" s="145"/>
    </row>
    <row r="29" spans="1:15" s="142" customFormat="1" ht="33" customHeight="1" x14ac:dyDescent="0.2">
      <c r="A29" s="321"/>
      <c r="B29" s="213"/>
      <c r="C29" s="341"/>
      <c r="D29" s="344"/>
      <c r="E29" s="150"/>
      <c r="F29" s="145"/>
      <c r="G29" s="145"/>
      <c r="H29" s="145"/>
      <c r="I29" s="145"/>
      <c r="J29" s="145"/>
      <c r="K29" s="145"/>
      <c r="L29" s="145"/>
      <c r="M29" s="145"/>
      <c r="N29" s="145"/>
      <c r="O29" s="145"/>
    </row>
    <row r="30" spans="1:15" s="142" customFormat="1" ht="48.75" customHeight="1" x14ac:dyDescent="0.2">
      <c r="A30" s="321"/>
      <c r="B30" s="211"/>
      <c r="C30" s="339"/>
      <c r="D30" s="340"/>
      <c r="E30" s="311"/>
      <c r="F30" s="145"/>
      <c r="G30" s="144"/>
      <c r="H30" s="145"/>
      <c r="I30" s="145"/>
      <c r="J30" s="145"/>
      <c r="K30" s="145"/>
      <c r="L30" s="145"/>
      <c r="M30" s="145"/>
      <c r="N30" s="145"/>
      <c r="O30" s="145"/>
    </row>
    <row r="31" spans="1:15" s="142" customFormat="1" ht="48.75" customHeight="1" x14ac:dyDescent="0.2">
      <c r="A31" s="321"/>
      <c r="B31" s="213"/>
      <c r="C31" s="341"/>
      <c r="D31" s="342"/>
      <c r="E31" s="150"/>
      <c r="F31" s="145"/>
      <c r="G31" s="145"/>
      <c r="H31" s="145"/>
      <c r="I31" s="145"/>
      <c r="J31" s="145"/>
      <c r="K31" s="145"/>
      <c r="L31" s="145"/>
      <c r="M31" s="145"/>
      <c r="N31" s="145"/>
      <c r="O31" s="145"/>
    </row>
    <row r="32" spans="1:15" s="142" customFormat="1" ht="48.75" customHeight="1" x14ac:dyDescent="0.2">
      <c r="A32" s="321"/>
      <c r="B32" s="345"/>
      <c r="C32" s="312"/>
      <c r="D32" s="141"/>
      <c r="E32" s="315"/>
      <c r="F32" s="145"/>
      <c r="G32" s="145"/>
      <c r="H32" s="145"/>
      <c r="I32" s="145"/>
      <c r="J32" s="145"/>
      <c r="K32" s="145"/>
      <c r="L32" s="145"/>
      <c r="M32" s="145"/>
      <c r="N32" s="145"/>
      <c r="O32" s="145"/>
    </row>
    <row r="33" spans="1:15" s="142" customFormat="1" ht="33.75" customHeight="1" x14ac:dyDescent="0.2">
      <c r="A33" s="321"/>
      <c r="B33" s="345"/>
      <c r="C33" s="312"/>
      <c r="D33" s="141"/>
      <c r="E33" s="315"/>
      <c r="F33" s="145"/>
      <c r="G33" s="144"/>
      <c r="H33" s="145"/>
      <c r="I33" s="145"/>
      <c r="J33" s="145"/>
      <c r="K33" s="145"/>
      <c r="L33" s="145"/>
      <c r="M33" s="145"/>
      <c r="N33" s="145"/>
      <c r="O33" s="145"/>
    </row>
    <row r="34" spans="1:15" s="142" customFormat="1" ht="33.75" customHeight="1" x14ac:dyDescent="0.2">
      <c r="A34" s="321"/>
      <c r="B34" s="346"/>
      <c r="C34" s="312"/>
      <c r="D34" s="141"/>
      <c r="E34" s="315"/>
      <c r="F34" s="145"/>
      <c r="G34" s="145"/>
      <c r="H34" s="145"/>
      <c r="I34" s="145"/>
      <c r="J34" s="145"/>
      <c r="K34" s="145"/>
      <c r="L34" s="145"/>
      <c r="M34" s="145"/>
      <c r="N34" s="145"/>
      <c r="O34" s="145"/>
    </row>
    <row r="35" spans="1:15" s="142" customFormat="1" ht="33.75" customHeight="1" x14ac:dyDescent="0.2">
      <c r="A35" s="321"/>
      <c r="B35" s="346"/>
      <c r="C35" s="312"/>
      <c r="D35" s="141"/>
      <c r="E35" s="315"/>
      <c r="F35" s="145"/>
      <c r="G35" s="145"/>
      <c r="H35" s="145"/>
      <c r="I35" s="145"/>
      <c r="J35" s="145"/>
      <c r="K35" s="145"/>
      <c r="L35" s="145"/>
      <c r="M35" s="145"/>
      <c r="N35" s="145"/>
      <c r="O35" s="145"/>
    </row>
    <row r="36" spans="1:15" s="142" customFormat="1" ht="42" customHeight="1" x14ac:dyDescent="0.2">
      <c r="A36" s="321"/>
      <c r="B36" s="346"/>
      <c r="C36" s="312"/>
      <c r="D36" s="141"/>
      <c r="E36" s="315"/>
      <c r="F36" s="145"/>
      <c r="G36" s="144"/>
      <c r="H36" s="145"/>
      <c r="I36" s="145"/>
      <c r="J36" s="145"/>
      <c r="K36" s="145"/>
      <c r="L36" s="145"/>
      <c r="M36" s="145"/>
      <c r="N36" s="145"/>
      <c r="O36" s="145"/>
    </row>
    <row r="37" spans="1:15" s="142" customFormat="1" ht="24.95" customHeight="1" x14ac:dyDescent="0.2">
      <c r="A37" s="321"/>
      <c r="B37" s="347"/>
      <c r="C37" s="303"/>
      <c r="D37" s="304"/>
      <c r="E37" s="315"/>
      <c r="F37" s="145"/>
      <c r="G37" s="144"/>
      <c r="H37" s="145"/>
      <c r="I37" s="145"/>
      <c r="J37" s="145"/>
      <c r="K37" s="145"/>
      <c r="L37" s="145"/>
      <c r="M37" s="145"/>
      <c r="N37" s="145"/>
      <c r="O37" s="145"/>
    </row>
    <row r="38" spans="1:15" s="142" customFormat="1" ht="24.95" customHeight="1" x14ac:dyDescent="0.2">
      <c r="A38" s="321"/>
      <c r="B38" s="348"/>
      <c r="C38" s="303"/>
      <c r="D38" s="304"/>
      <c r="E38" s="315"/>
      <c r="F38" s="145"/>
      <c r="G38" s="145"/>
      <c r="H38" s="145"/>
      <c r="I38" s="145"/>
      <c r="J38" s="145"/>
      <c r="K38" s="145"/>
      <c r="L38" s="145"/>
      <c r="M38" s="145"/>
      <c r="N38" s="145"/>
      <c r="O38" s="145"/>
    </row>
    <row r="39" spans="1:15" s="142" customFormat="1" ht="24.95" customHeight="1" x14ac:dyDescent="0.2">
      <c r="A39" s="321"/>
      <c r="B39" s="349"/>
      <c r="C39" s="303"/>
      <c r="D39" s="304"/>
      <c r="E39" s="315"/>
      <c r="F39" s="145"/>
      <c r="G39" s="350"/>
      <c r="H39" s="145"/>
      <c r="I39" s="145"/>
      <c r="J39" s="145"/>
      <c r="K39" s="145"/>
      <c r="L39" s="145"/>
      <c r="M39" s="145"/>
      <c r="N39" s="145"/>
      <c r="O39" s="145"/>
    </row>
    <row r="40" spans="1:15" s="142" customFormat="1" ht="24.95" customHeight="1" x14ac:dyDescent="0.2">
      <c r="A40" s="321"/>
      <c r="B40" s="345"/>
      <c r="C40" s="312"/>
      <c r="D40" s="141"/>
      <c r="E40" s="315"/>
      <c r="F40" s="145"/>
      <c r="G40" s="145"/>
      <c r="H40" s="145"/>
      <c r="I40" s="145"/>
      <c r="J40" s="145"/>
      <c r="K40" s="145"/>
      <c r="L40" s="145"/>
      <c r="M40" s="145"/>
      <c r="N40" s="145"/>
      <c r="O40" s="145"/>
    </row>
    <row r="41" spans="1:15" s="142" customFormat="1" ht="24.95" customHeight="1" x14ac:dyDescent="0.2">
      <c r="A41" s="321"/>
      <c r="B41" s="211"/>
      <c r="C41" s="339"/>
      <c r="D41" s="340"/>
      <c r="E41" s="315"/>
      <c r="F41" s="145"/>
      <c r="G41" s="145"/>
      <c r="H41" s="145"/>
      <c r="I41" s="145"/>
      <c r="J41" s="145"/>
      <c r="K41" s="145"/>
      <c r="L41" s="145"/>
      <c r="M41" s="145"/>
      <c r="N41" s="145"/>
      <c r="O41" s="145"/>
    </row>
    <row r="42" spans="1:15" s="142" customFormat="1" ht="24.95" customHeight="1" x14ac:dyDescent="0.2">
      <c r="A42" s="321"/>
      <c r="B42" s="213"/>
      <c r="C42" s="341"/>
      <c r="D42" s="342"/>
      <c r="E42" s="315"/>
      <c r="F42" s="145"/>
      <c r="G42" s="145"/>
      <c r="H42" s="145"/>
      <c r="I42" s="145"/>
      <c r="J42" s="145"/>
      <c r="K42" s="145"/>
      <c r="L42" s="145"/>
      <c r="M42" s="145"/>
      <c r="N42" s="145"/>
      <c r="O42" s="145"/>
    </row>
    <row r="43" spans="1:15" s="142" customFormat="1" ht="42.75" customHeight="1" x14ac:dyDescent="0.2">
      <c r="A43" s="321"/>
      <c r="B43" s="345"/>
      <c r="C43" s="312"/>
      <c r="D43" s="141"/>
      <c r="E43" s="315"/>
      <c r="F43" s="145"/>
      <c r="G43" s="145"/>
      <c r="H43" s="145"/>
      <c r="I43" s="145"/>
      <c r="J43" s="145"/>
      <c r="K43" s="145"/>
      <c r="L43" s="145"/>
      <c r="M43" s="145"/>
      <c r="N43" s="145"/>
      <c r="O43" s="145"/>
    </row>
    <row r="44" spans="1:15" s="142" customFormat="1" ht="42.75" customHeight="1" x14ac:dyDescent="0.2">
      <c r="A44" s="321"/>
      <c r="B44" s="345"/>
      <c r="C44" s="312"/>
      <c r="D44" s="141"/>
      <c r="E44" s="315"/>
      <c r="F44" s="145"/>
      <c r="G44" s="145"/>
      <c r="H44" s="145"/>
      <c r="I44" s="145"/>
      <c r="J44" s="145"/>
      <c r="K44" s="145"/>
      <c r="L44" s="145"/>
      <c r="M44" s="145"/>
      <c r="N44" s="145"/>
      <c r="O44" s="145"/>
    </row>
    <row r="45" spans="1:15" s="354" customFormat="1" ht="24.95" customHeight="1" x14ac:dyDescent="0.2">
      <c r="A45" s="351"/>
      <c r="B45" s="352"/>
      <c r="C45" s="151"/>
      <c r="D45" s="153"/>
      <c r="E45" s="353"/>
      <c r="F45" s="152"/>
      <c r="G45" s="152"/>
      <c r="H45" s="152"/>
      <c r="I45" s="152"/>
      <c r="J45" s="152"/>
      <c r="K45" s="152"/>
      <c r="L45" s="152"/>
      <c r="M45" s="152"/>
      <c r="N45" s="152"/>
      <c r="O45" s="152"/>
    </row>
    <row r="46" spans="1:15" s="350" customFormat="1" ht="24.95" customHeight="1" x14ac:dyDescent="0.2">
      <c r="A46" s="355"/>
      <c r="B46" s="356"/>
      <c r="C46" s="312"/>
      <c r="D46" s="141"/>
      <c r="E46" s="315"/>
      <c r="F46" s="144"/>
      <c r="G46" s="144"/>
      <c r="H46" s="144"/>
      <c r="I46" s="144"/>
      <c r="J46" s="144"/>
      <c r="K46" s="144"/>
      <c r="L46" s="144"/>
      <c r="M46" s="144"/>
      <c r="N46" s="144"/>
      <c r="O46" s="144"/>
    </row>
    <row r="47" spans="1:15" s="142" customFormat="1" ht="38.25" customHeight="1" x14ac:dyDescent="0.2">
      <c r="A47" s="321"/>
      <c r="B47" s="211"/>
      <c r="C47" s="339"/>
      <c r="D47" s="340"/>
      <c r="E47" s="311"/>
      <c r="F47" s="145"/>
      <c r="G47" s="145"/>
      <c r="H47" s="145"/>
      <c r="I47" s="145"/>
      <c r="J47" s="145"/>
      <c r="K47" s="145"/>
      <c r="L47" s="145"/>
      <c r="M47" s="145"/>
      <c r="N47" s="145"/>
      <c r="O47" s="145"/>
    </row>
    <row r="48" spans="1:15" s="142" customFormat="1" ht="38.25" customHeight="1" x14ac:dyDescent="0.2">
      <c r="A48" s="321"/>
      <c r="B48" s="213"/>
      <c r="C48" s="341"/>
      <c r="D48" s="342"/>
      <c r="E48" s="150"/>
      <c r="F48" s="145"/>
      <c r="G48" s="145"/>
      <c r="H48" s="145"/>
      <c r="I48" s="145"/>
      <c r="J48" s="145"/>
      <c r="K48" s="145"/>
      <c r="L48" s="145"/>
      <c r="M48" s="145"/>
      <c r="N48" s="145"/>
      <c r="O48" s="145"/>
    </row>
    <row r="49" spans="1:15" s="142" customFormat="1" ht="38.25" customHeight="1" x14ac:dyDescent="0.2">
      <c r="A49" s="321"/>
      <c r="B49" s="345"/>
      <c r="C49" s="312"/>
      <c r="D49" s="141"/>
      <c r="E49" s="315"/>
      <c r="F49" s="145"/>
      <c r="G49" s="145"/>
      <c r="H49" s="145"/>
      <c r="I49" s="145"/>
      <c r="J49" s="145"/>
      <c r="K49" s="145"/>
      <c r="L49" s="145"/>
      <c r="M49" s="145"/>
      <c r="N49" s="145"/>
      <c r="O49" s="145"/>
    </row>
    <row r="50" spans="1:15" s="142" customFormat="1" ht="24.95" customHeight="1" x14ac:dyDescent="0.2">
      <c r="A50" s="321"/>
      <c r="B50" s="345"/>
      <c r="C50" s="312"/>
      <c r="D50" s="141"/>
      <c r="E50" s="315"/>
      <c r="F50" s="145"/>
      <c r="G50" s="145"/>
      <c r="H50" s="145"/>
      <c r="I50" s="145"/>
      <c r="J50" s="145"/>
      <c r="K50" s="145"/>
      <c r="L50" s="145"/>
      <c r="M50" s="145"/>
      <c r="N50" s="145"/>
      <c r="O50" s="145"/>
    </row>
    <row r="51" spans="1:15" s="350" customFormat="1" ht="24.95" customHeight="1" x14ac:dyDescent="0.2">
      <c r="A51" s="355"/>
      <c r="B51" s="356"/>
      <c r="C51" s="312"/>
      <c r="D51" s="141"/>
      <c r="E51" s="315"/>
      <c r="F51" s="144"/>
      <c r="G51" s="144"/>
      <c r="H51" s="144"/>
      <c r="I51" s="144"/>
      <c r="J51" s="144"/>
      <c r="K51" s="144"/>
      <c r="L51" s="144"/>
      <c r="M51" s="144"/>
      <c r="N51" s="144"/>
      <c r="O51" s="144"/>
    </row>
    <row r="52" spans="1:15" s="142" customFormat="1" ht="30.75" customHeight="1" x14ac:dyDescent="0.2">
      <c r="A52" s="321"/>
      <c r="B52" s="347"/>
      <c r="C52" s="303"/>
      <c r="D52" s="304"/>
      <c r="E52" s="311"/>
      <c r="F52" s="145"/>
      <c r="G52" s="145"/>
      <c r="H52" s="145"/>
      <c r="I52" s="145"/>
      <c r="J52" s="145"/>
      <c r="K52" s="145"/>
      <c r="L52" s="145"/>
      <c r="M52" s="145"/>
      <c r="N52" s="145"/>
      <c r="O52" s="145"/>
    </row>
    <row r="53" spans="1:15" s="142" customFormat="1" ht="30.75" customHeight="1" x14ac:dyDescent="0.2">
      <c r="A53" s="321"/>
      <c r="B53" s="349"/>
      <c r="C53" s="303"/>
      <c r="D53" s="304"/>
      <c r="E53" s="150"/>
      <c r="F53" s="145"/>
      <c r="G53" s="145"/>
      <c r="H53" s="145"/>
      <c r="I53" s="145"/>
      <c r="J53" s="145"/>
      <c r="K53" s="145"/>
      <c r="L53" s="145"/>
      <c r="M53" s="145"/>
      <c r="N53" s="145"/>
      <c r="O53" s="145"/>
    </row>
    <row r="54" spans="1:15" s="142" customFormat="1" ht="30.75" customHeight="1" x14ac:dyDescent="0.2">
      <c r="A54" s="321"/>
      <c r="B54" s="347"/>
      <c r="C54" s="303"/>
      <c r="D54" s="304"/>
      <c r="E54" s="311"/>
      <c r="F54" s="145"/>
      <c r="G54" s="145"/>
      <c r="H54" s="145"/>
      <c r="I54" s="145"/>
      <c r="J54" s="145"/>
      <c r="K54" s="145"/>
      <c r="L54" s="145"/>
      <c r="M54" s="145"/>
      <c r="N54" s="145"/>
      <c r="O54" s="145"/>
    </row>
    <row r="55" spans="1:15" s="142" customFormat="1" ht="30.75" customHeight="1" x14ac:dyDescent="0.2">
      <c r="A55" s="321"/>
      <c r="B55" s="349"/>
      <c r="C55" s="303"/>
      <c r="D55" s="304"/>
      <c r="E55" s="150"/>
      <c r="F55" s="145"/>
      <c r="G55" s="145"/>
      <c r="H55" s="145"/>
      <c r="I55" s="145"/>
      <c r="J55" s="145"/>
      <c r="K55" s="145"/>
      <c r="L55" s="145"/>
      <c r="M55" s="145"/>
      <c r="N55" s="145"/>
      <c r="O55" s="145"/>
    </row>
    <row r="56" spans="1:15" s="142" customFormat="1" ht="30.75" customHeight="1" x14ac:dyDescent="0.2">
      <c r="A56" s="321"/>
      <c r="B56" s="347"/>
      <c r="C56" s="303"/>
      <c r="D56" s="304"/>
      <c r="E56" s="315"/>
      <c r="F56" s="145"/>
      <c r="G56" s="145"/>
      <c r="H56" s="145"/>
      <c r="I56" s="145"/>
      <c r="J56" s="145"/>
      <c r="K56" s="145"/>
      <c r="L56" s="145"/>
      <c r="M56" s="145"/>
      <c r="N56" s="145"/>
      <c r="O56" s="145"/>
    </row>
    <row r="57" spans="1:15" s="142" customFormat="1" ht="30.75" customHeight="1" x14ac:dyDescent="0.2">
      <c r="A57" s="321"/>
      <c r="B57" s="349"/>
      <c r="C57" s="303"/>
      <c r="D57" s="304"/>
      <c r="E57" s="315"/>
      <c r="F57" s="145"/>
      <c r="G57" s="145"/>
      <c r="H57" s="145"/>
      <c r="I57" s="145"/>
      <c r="J57" s="145"/>
      <c r="K57" s="145"/>
      <c r="L57" s="145"/>
      <c r="M57" s="145"/>
      <c r="N57" s="145"/>
      <c r="O57" s="145"/>
    </row>
    <row r="58" spans="1:15" s="142" customFormat="1" ht="24.95" customHeight="1" x14ac:dyDescent="0.2">
      <c r="A58" s="321"/>
      <c r="B58" s="345"/>
      <c r="C58" s="312"/>
      <c r="D58" s="141"/>
      <c r="E58" s="315"/>
      <c r="F58" s="145"/>
      <c r="G58" s="145"/>
      <c r="H58" s="145"/>
      <c r="I58" s="145"/>
      <c r="J58" s="145"/>
      <c r="K58" s="145"/>
      <c r="L58" s="145"/>
      <c r="M58" s="145"/>
      <c r="N58" s="145"/>
      <c r="O58" s="145"/>
    </row>
    <row r="59" spans="1:15" s="350" customFormat="1" ht="24.95" customHeight="1" x14ac:dyDescent="0.2">
      <c r="A59" s="355"/>
      <c r="B59" s="356"/>
      <c r="C59" s="312"/>
      <c r="D59" s="141"/>
      <c r="E59" s="357"/>
      <c r="F59" s="144"/>
      <c r="G59" s="144"/>
      <c r="H59" s="144"/>
      <c r="I59" s="144"/>
      <c r="J59" s="144"/>
      <c r="K59" s="144"/>
      <c r="L59" s="144"/>
      <c r="M59" s="144"/>
      <c r="N59" s="144"/>
      <c r="O59" s="144"/>
    </row>
    <row r="60" spans="1:15" s="142" customFormat="1" ht="38.25" customHeight="1" x14ac:dyDescent="0.2">
      <c r="A60" s="321"/>
      <c r="B60" s="211"/>
      <c r="C60" s="339"/>
      <c r="D60" s="340"/>
      <c r="E60" s="315"/>
      <c r="F60" s="145"/>
      <c r="G60" s="145"/>
      <c r="H60" s="145"/>
      <c r="I60" s="145"/>
      <c r="J60" s="145"/>
      <c r="K60" s="145"/>
      <c r="L60" s="145"/>
      <c r="M60" s="145"/>
      <c r="N60" s="145"/>
      <c r="O60" s="145"/>
    </row>
    <row r="61" spans="1:15" s="142" customFormat="1" ht="25.5" customHeight="1" x14ac:dyDescent="0.2">
      <c r="A61" s="321"/>
      <c r="B61" s="213"/>
      <c r="C61" s="341"/>
      <c r="D61" s="342"/>
      <c r="E61" s="315"/>
      <c r="F61" s="145"/>
      <c r="G61" s="145"/>
      <c r="H61" s="145"/>
      <c r="I61" s="145"/>
      <c r="J61" s="145"/>
      <c r="K61" s="145"/>
      <c r="L61" s="145"/>
      <c r="M61" s="145"/>
      <c r="N61" s="145"/>
      <c r="O61" s="145"/>
    </row>
    <row r="62" spans="1:15" s="142" customFormat="1" ht="40.5" customHeight="1" x14ac:dyDescent="0.2">
      <c r="A62" s="321"/>
      <c r="B62" s="345"/>
      <c r="C62" s="312"/>
      <c r="D62" s="141"/>
      <c r="E62" s="315"/>
      <c r="F62" s="145"/>
      <c r="G62" s="145"/>
      <c r="H62" s="145"/>
      <c r="I62" s="145"/>
      <c r="J62" s="145"/>
      <c r="K62" s="145"/>
      <c r="L62" s="145"/>
      <c r="M62" s="145"/>
      <c r="N62" s="145"/>
      <c r="O62" s="145"/>
    </row>
    <row r="63" spans="1:15" s="142" customFormat="1" ht="40.5" customHeight="1" x14ac:dyDescent="0.2">
      <c r="A63" s="321"/>
      <c r="B63" s="345"/>
      <c r="C63" s="312"/>
      <c r="D63" s="141"/>
      <c r="E63" s="315"/>
      <c r="F63" s="145"/>
      <c r="G63" s="145"/>
      <c r="H63" s="145"/>
      <c r="I63" s="145"/>
      <c r="J63" s="145"/>
      <c r="K63" s="145"/>
      <c r="L63" s="145"/>
      <c r="M63" s="145"/>
      <c r="N63" s="145"/>
      <c r="O63" s="145"/>
    </row>
    <row r="64" spans="1:15" s="350" customFormat="1" ht="24.95" customHeight="1" x14ac:dyDescent="0.2">
      <c r="A64" s="355"/>
      <c r="B64" s="356"/>
      <c r="C64" s="312"/>
      <c r="D64" s="141"/>
      <c r="E64" s="357"/>
      <c r="F64" s="144"/>
      <c r="G64" s="144"/>
      <c r="H64" s="144"/>
      <c r="I64" s="144"/>
      <c r="J64" s="144"/>
      <c r="K64" s="144"/>
      <c r="L64" s="144"/>
      <c r="M64" s="144"/>
      <c r="N64" s="144"/>
      <c r="O64" s="144"/>
    </row>
    <row r="65" spans="1:15" s="142" customFormat="1" ht="36" customHeight="1" x14ac:dyDescent="0.2">
      <c r="A65" s="321"/>
      <c r="B65" s="211"/>
      <c r="C65" s="339"/>
      <c r="D65" s="340"/>
      <c r="E65" s="311"/>
      <c r="F65" s="145"/>
      <c r="G65" s="145"/>
      <c r="H65" s="145"/>
      <c r="I65" s="145"/>
      <c r="J65" s="145"/>
      <c r="K65" s="145"/>
      <c r="L65" s="145"/>
      <c r="M65" s="145"/>
      <c r="N65" s="145"/>
      <c r="O65" s="145"/>
    </row>
    <row r="66" spans="1:15" s="142" customFormat="1" ht="36" customHeight="1" x14ac:dyDescent="0.2">
      <c r="A66" s="321"/>
      <c r="B66" s="213"/>
      <c r="C66" s="341"/>
      <c r="D66" s="342"/>
      <c r="E66" s="150"/>
      <c r="F66" s="145"/>
      <c r="G66" s="145"/>
      <c r="H66" s="145"/>
      <c r="I66" s="145"/>
      <c r="J66" s="145"/>
      <c r="K66" s="145"/>
      <c r="L66" s="145"/>
      <c r="M66" s="145"/>
      <c r="N66" s="145"/>
      <c r="O66" s="145"/>
    </row>
    <row r="67" spans="1:15" s="142" customFormat="1" ht="41.25" customHeight="1" x14ac:dyDescent="0.2">
      <c r="A67" s="321"/>
      <c r="B67" s="345"/>
      <c r="C67" s="312"/>
      <c r="D67" s="141"/>
      <c r="E67" s="315"/>
      <c r="F67" s="145"/>
      <c r="G67" s="145"/>
      <c r="H67" s="145"/>
      <c r="I67" s="145"/>
      <c r="J67" s="145"/>
      <c r="K67" s="145"/>
      <c r="L67" s="145"/>
      <c r="M67" s="145"/>
      <c r="N67" s="145"/>
      <c r="O67" s="145"/>
    </row>
    <row r="68" spans="1:15" s="142" customFormat="1" ht="24.95" customHeight="1" x14ac:dyDescent="0.2">
      <c r="A68" s="321"/>
      <c r="B68" s="345"/>
      <c r="C68" s="312"/>
      <c r="D68" s="141"/>
      <c r="E68" s="315"/>
      <c r="F68" s="145"/>
      <c r="G68" s="144"/>
      <c r="H68" s="145"/>
      <c r="I68" s="145"/>
      <c r="J68" s="145"/>
      <c r="K68" s="145"/>
      <c r="L68" s="145"/>
      <c r="M68" s="145"/>
      <c r="N68" s="145"/>
      <c r="O68" s="145"/>
    </row>
    <row r="69" spans="1:15" s="350" customFormat="1" ht="24.95" customHeight="1" x14ac:dyDescent="0.2">
      <c r="A69" s="355"/>
      <c r="B69" s="356"/>
      <c r="C69" s="312"/>
      <c r="D69" s="141"/>
      <c r="E69" s="357"/>
      <c r="F69" s="144"/>
      <c r="G69" s="144"/>
      <c r="H69" s="144"/>
      <c r="I69" s="144"/>
      <c r="J69" s="144"/>
      <c r="K69" s="144"/>
      <c r="L69" s="144"/>
      <c r="M69" s="144"/>
      <c r="N69" s="144"/>
      <c r="O69" s="144"/>
    </row>
    <row r="70" spans="1:15" s="350" customFormat="1" ht="24.95" customHeight="1" x14ac:dyDescent="0.2">
      <c r="A70" s="355"/>
      <c r="B70" s="211"/>
      <c r="C70" s="339"/>
      <c r="D70" s="306"/>
      <c r="E70" s="315"/>
      <c r="F70" s="145"/>
      <c r="G70" s="145"/>
      <c r="H70" s="145"/>
      <c r="I70" s="145"/>
      <c r="J70" s="145"/>
      <c r="K70" s="145"/>
      <c r="L70" s="145"/>
      <c r="M70" s="145"/>
      <c r="N70" s="144"/>
      <c r="O70" s="144"/>
    </row>
    <row r="71" spans="1:15" s="142" customFormat="1" ht="24.95" customHeight="1" x14ac:dyDescent="0.2">
      <c r="A71" s="321"/>
      <c r="B71" s="212"/>
      <c r="C71" s="358"/>
      <c r="D71" s="359"/>
      <c r="E71" s="315"/>
      <c r="F71" s="145"/>
      <c r="G71" s="145"/>
      <c r="H71" s="145"/>
      <c r="I71" s="145"/>
      <c r="J71" s="145"/>
      <c r="K71" s="145"/>
      <c r="L71" s="145"/>
      <c r="M71" s="145"/>
      <c r="N71" s="145"/>
      <c r="O71" s="360"/>
    </row>
    <row r="72" spans="1:15" s="142" customFormat="1" ht="24.95" customHeight="1" x14ac:dyDescent="0.2">
      <c r="A72" s="321"/>
      <c r="B72" s="212"/>
      <c r="C72" s="358"/>
      <c r="D72" s="359"/>
      <c r="E72" s="315"/>
      <c r="F72" s="145"/>
      <c r="G72" s="145"/>
      <c r="H72" s="145"/>
      <c r="I72" s="145"/>
      <c r="J72" s="145"/>
      <c r="K72" s="145"/>
      <c r="L72" s="145"/>
      <c r="M72" s="145"/>
      <c r="N72" s="145"/>
      <c r="O72" s="145"/>
    </row>
    <row r="73" spans="1:15" s="142" customFormat="1" ht="24.95" customHeight="1" x14ac:dyDescent="0.2">
      <c r="A73" s="321"/>
      <c r="B73" s="213"/>
      <c r="C73" s="341"/>
      <c r="D73" s="309"/>
      <c r="E73" s="315"/>
      <c r="F73" s="145"/>
      <c r="G73" s="145"/>
      <c r="H73" s="145"/>
      <c r="I73" s="145"/>
      <c r="J73" s="145"/>
      <c r="K73" s="145"/>
      <c r="L73" s="145"/>
      <c r="M73" s="145"/>
      <c r="N73" s="145"/>
      <c r="O73" s="145"/>
    </row>
    <row r="74" spans="1:15" s="142" customFormat="1" ht="24.95" customHeight="1" x14ac:dyDescent="0.2">
      <c r="A74" s="321"/>
      <c r="B74" s="211"/>
      <c r="C74" s="339"/>
      <c r="D74" s="340"/>
      <c r="E74" s="315"/>
      <c r="F74" s="145"/>
      <c r="G74" s="144"/>
      <c r="H74" s="145"/>
      <c r="I74" s="145"/>
      <c r="J74" s="145"/>
      <c r="K74" s="145"/>
      <c r="L74" s="145"/>
      <c r="M74" s="145"/>
      <c r="N74" s="145"/>
      <c r="O74" s="145"/>
    </row>
    <row r="75" spans="1:15" s="142" customFormat="1" ht="24.95" customHeight="1" x14ac:dyDescent="0.2">
      <c r="A75" s="321"/>
      <c r="B75" s="212"/>
      <c r="C75" s="358"/>
      <c r="D75" s="361"/>
      <c r="E75" s="315"/>
      <c r="F75" s="145"/>
      <c r="G75" s="145"/>
      <c r="H75" s="145"/>
      <c r="I75" s="145"/>
      <c r="J75" s="145"/>
      <c r="K75" s="145"/>
      <c r="L75" s="145"/>
      <c r="M75" s="145"/>
      <c r="N75" s="145"/>
      <c r="O75" s="145"/>
    </row>
    <row r="76" spans="1:15" s="142" customFormat="1" ht="24.95" customHeight="1" x14ac:dyDescent="0.2">
      <c r="A76" s="321"/>
      <c r="B76" s="212"/>
      <c r="C76" s="341"/>
      <c r="D76" s="342"/>
      <c r="E76" s="315"/>
      <c r="F76" s="145"/>
      <c r="G76" s="145"/>
      <c r="H76" s="145"/>
      <c r="I76" s="145"/>
      <c r="J76" s="145"/>
      <c r="K76" s="145"/>
      <c r="L76" s="145"/>
      <c r="M76" s="145"/>
      <c r="N76" s="145"/>
      <c r="O76" s="145"/>
    </row>
    <row r="77" spans="1:15" s="142" customFormat="1" ht="24.95" customHeight="1" x14ac:dyDescent="0.2">
      <c r="A77" s="321"/>
      <c r="B77" s="212"/>
      <c r="C77" s="339"/>
      <c r="D77" s="340"/>
      <c r="E77" s="315"/>
      <c r="F77" s="145"/>
      <c r="G77" s="145"/>
      <c r="H77" s="145"/>
      <c r="I77" s="145"/>
      <c r="J77" s="145"/>
      <c r="K77" s="145"/>
      <c r="L77" s="145"/>
      <c r="M77" s="145"/>
      <c r="N77" s="145"/>
      <c r="O77" s="145"/>
    </row>
    <row r="78" spans="1:15" s="142" customFormat="1" ht="24.95" customHeight="1" x14ac:dyDescent="0.2">
      <c r="A78" s="321"/>
      <c r="B78" s="212"/>
      <c r="C78" s="358"/>
      <c r="D78" s="361"/>
      <c r="E78" s="315"/>
      <c r="F78" s="145"/>
      <c r="G78" s="145"/>
      <c r="H78" s="145"/>
      <c r="I78" s="145"/>
      <c r="J78" s="145"/>
      <c r="K78" s="145"/>
      <c r="L78" s="145"/>
      <c r="M78" s="145"/>
      <c r="N78" s="145"/>
      <c r="O78" s="145"/>
    </row>
    <row r="79" spans="1:15" s="142" customFormat="1" ht="24.95" customHeight="1" x14ac:dyDescent="0.2">
      <c r="A79" s="321"/>
      <c r="B79" s="213"/>
      <c r="C79" s="341"/>
      <c r="D79" s="342"/>
      <c r="E79" s="315"/>
      <c r="F79" s="145"/>
      <c r="G79" s="145"/>
      <c r="H79" s="145"/>
      <c r="I79" s="145"/>
      <c r="J79" s="145"/>
      <c r="K79" s="145"/>
      <c r="L79" s="145"/>
      <c r="M79" s="145"/>
      <c r="N79" s="145"/>
      <c r="O79" s="145"/>
    </row>
    <row r="80" spans="1:15" s="350" customFormat="1" ht="24.95" customHeight="1" x14ac:dyDescent="0.2">
      <c r="A80" s="355"/>
      <c r="B80" s="362"/>
      <c r="C80" s="363"/>
      <c r="D80" s="141"/>
      <c r="E80" s="357"/>
      <c r="F80" s="144"/>
      <c r="G80" s="144"/>
      <c r="H80" s="144"/>
      <c r="I80" s="144"/>
      <c r="J80" s="144"/>
      <c r="K80" s="144"/>
      <c r="L80" s="144"/>
      <c r="M80" s="144"/>
      <c r="N80" s="144"/>
      <c r="O80" s="144"/>
    </row>
    <row r="81" spans="1:15" s="142" customFormat="1" ht="33.75" customHeight="1" x14ac:dyDescent="0.2">
      <c r="A81" s="321"/>
      <c r="B81" s="211"/>
      <c r="C81" s="211"/>
      <c r="D81" s="364"/>
      <c r="E81" s="365"/>
      <c r="F81" s="145"/>
      <c r="G81" s="145"/>
      <c r="H81" s="145"/>
      <c r="I81" s="145"/>
      <c r="J81" s="145"/>
      <c r="K81" s="145"/>
      <c r="L81" s="145"/>
      <c r="M81" s="145"/>
      <c r="N81" s="145"/>
      <c r="O81" s="145"/>
    </row>
    <row r="82" spans="1:15" s="142" customFormat="1" ht="24.95" customHeight="1" x14ac:dyDescent="0.2">
      <c r="A82" s="321"/>
      <c r="B82" s="213"/>
      <c r="C82" s="213"/>
      <c r="D82" s="366"/>
      <c r="E82" s="315"/>
      <c r="F82" s="145"/>
      <c r="G82" s="145"/>
      <c r="H82" s="145"/>
      <c r="I82" s="145"/>
      <c r="J82" s="145"/>
      <c r="K82" s="145"/>
      <c r="L82" s="145"/>
      <c r="M82" s="145"/>
      <c r="N82" s="145"/>
      <c r="O82" s="145"/>
    </row>
  </sheetData>
  <mergeCells count="57">
    <mergeCell ref="D37:D39"/>
    <mergeCell ref="D41:D42"/>
    <mergeCell ref="D52:D53"/>
    <mergeCell ref="C81:C82"/>
    <mergeCell ref="D81:D82"/>
    <mergeCell ref="C60:C61"/>
    <mergeCell ref="D60:D61"/>
    <mergeCell ref="C70:C73"/>
    <mergeCell ref="D70:D73"/>
    <mergeCell ref="C26:C27"/>
    <mergeCell ref="B70:B73"/>
    <mergeCell ref="B56:B57"/>
    <mergeCell ref="C56:C57"/>
    <mergeCell ref="D56:D57"/>
    <mergeCell ref="B65:B66"/>
    <mergeCell ref="C65:C66"/>
    <mergeCell ref="D65:D66"/>
    <mergeCell ref="B60:B61"/>
    <mergeCell ref="B74:B79"/>
    <mergeCell ref="C77:C79"/>
    <mergeCell ref="D77:D79"/>
    <mergeCell ref="C74:C76"/>
    <mergeCell ref="D74:D76"/>
    <mergeCell ref="B81:B82"/>
    <mergeCell ref="C30:C31"/>
    <mergeCell ref="D30:D31"/>
    <mergeCell ref="B41:B42"/>
    <mergeCell ref="C41:C42"/>
    <mergeCell ref="J1:K1"/>
    <mergeCell ref="A4:A5"/>
    <mergeCell ref="B4:B5"/>
    <mergeCell ref="C4:C5"/>
    <mergeCell ref="D4:D5"/>
    <mergeCell ref="F4:F5"/>
    <mergeCell ref="G4:I4"/>
    <mergeCell ref="J4:J5"/>
    <mergeCell ref="K4:K5"/>
    <mergeCell ref="A1:I1"/>
    <mergeCell ref="C28:C29"/>
    <mergeCell ref="D28:D29"/>
    <mergeCell ref="B28:B29"/>
    <mergeCell ref="B37:B39"/>
    <mergeCell ref="C37:C39"/>
    <mergeCell ref="B54:B55"/>
    <mergeCell ref="C54:C55"/>
    <mergeCell ref="D54:D55"/>
    <mergeCell ref="B47:B48"/>
    <mergeCell ref="B52:B53"/>
    <mergeCell ref="C47:C48"/>
    <mergeCell ref="D47:D48"/>
    <mergeCell ref="C52:C53"/>
    <mergeCell ref="B30:B31"/>
    <mergeCell ref="N4:O4"/>
    <mergeCell ref="L4:M4"/>
    <mergeCell ref="A6:C6"/>
    <mergeCell ref="B26:B27"/>
    <mergeCell ref="D26:D2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6"/>
  <sheetViews>
    <sheetView zoomScale="110" zoomScaleNormal="110" workbookViewId="0">
      <selection activeCell="H15" sqref="H15"/>
    </sheetView>
  </sheetViews>
  <sheetFormatPr defaultRowHeight="15" x14ac:dyDescent="0.25"/>
  <cols>
    <col min="1" max="4" width="5.7109375" customWidth="1"/>
    <col min="5" max="5" width="5.140625" customWidth="1"/>
    <col min="6" max="6" width="5.7109375" customWidth="1"/>
    <col min="7" max="7" width="41.5703125" customWidth="1"/>
    <col min="8" max="8" width="18" customWidth="1"/>
    <col min="9" max="9" width="15.7109375" bestFit="1" customWidth="1"/>
  </cols>
  <sheetData>
    <row r="1" spans="1:8" ht="16.5" x14ac:dyDescent="0.25">
      <c r="A1" s="221"/>
      <c r="B1" s="221"/>
      <c r="C1" s="221"/>
      <c r="D1" s="221"/>
      <c r="E1" s="221"/>
      <c r="F1" s="221"/>
      <c r="G1" s="222"/>
      <c r="H1" s="222"/>
    </row>
    <row r="2" spans="1:8" ht="16.5" x14ac:dyDescent="0.25">
      <c r="A2" s="218"/>
      <c r="B2" s="218"/>
      <c r="C2" s="218"/>
      <c r="D2" s="218"/>
      <c r="E2" s="218"/>
      <c r="F2" s="218"/>
      <c r="G2" s="215"/>
      <c r="H2" s="215"/>
    </row>
    <row r="3" spans="1:8" ht="18.75" x14ac:dyDescent="0.3">
      <c r="A3" s="223"/>
      <c r="B3" s="223"/>
      <c r="C3" s="223"/>
      <c r="D3" s="223"/>
      <c r="E3" s="223"/>
      <c r="F3" s="223"/>
      <c r="G3" s="215"/>
      <c r="H3" s="215"/>
    </row>
    <row r="4" spans="1:8" ht="27" customHeight="1" x14ac:dyDescent="0.3">
      <c r="A4" s="216" t="s">
        <v>13</v>
      </c>
      <c r="B4" s="216"/>
      <c r="C4" s="216"/>
      <c r="D4" s="216"/>
      <c r="E4" s="216"/>
      <c r="F4" s="216"/>
      <c r="G4" s="216"/>
      <c r="H4" s="216"/>
    </row>
    <row r="5" spans="1:8" ht="22.5" customHeight="1" x14ac:dyDescent="0.25">
      <c r="A5" s="224" t="s">
        <v>130</v>
      </c>
      <c r="B5" s="224"/>
      <c r="C5" s="224"/>
      <c r="D5" s="224"/>
      <c r="E5" s="224"/>
      <c r="F5" s="224"/>
      <c r="G5" s="224"/>
      <c r="H5" s="224"/>
    </row>
    <row r="6" spans="1:8" ht="24.75" customHeight="1" x14ac:dyDescent="0.25">
      <c r="A6" s="225" t="s">
        <v>129</v>
      </c>
      <c r="B6" s="225"/>
      <c r="C6" s="225"/>
      <c r="D6" s="225"/>
      <c r="E6" s="225"/>
      <c r="F6" s="225"/>
      <c r="G6" s="225"/>
      <c r="H6" s="225"/>
    </row>
    <row r="7" spans="1:8" ht="18.75" x14ac:dyDescent="0.3">
      <c r="A7" s="216"/>
      <c r="B7" s="216"/>
      <c r="C7" s="216"/>
      <c r="D7" s="216"/>
      <c r="E7" s="216"/>
      <c r="F7" s="216"/>
      <c r="G7" s="216"/>
      <c r="H7" s="216"/>
    </row>
    <row r="8" spans="1:8" ht="21.95" customHeight="1" x14ac:dyDescent="0.25">
      <c r="A8" s="217" t="s">
        <v>14</v>
      </c>
      <c r="B8" s="217"/>
      <c r="C8" s="226"/>
      <c r="D8" s="226"/>
      <c r="E8" s="226"/>
      <c r="F8" s="226"/>
      <c r="G8" s="227" t="s">
        <v>15</v>
      </c>
      <c r="H8" s="227"/>
    </row>
    <row r="9" spans="1:8" ht="21.95" customHeight="1" x14ac:dyDescent="0.25">
      <c r="A9" s="228" t="s">
        <v>131</v>
      </c>
      <c r="B9" s="228"/>
      <c r="C9" s="228"/>
      <c r="D9" s="228"/>
      <c r="E9" s="228"/>
      <c r="F9" s="228"/>
      <c r="G9" s="227" t="s">
        <v>16</v>
      </c>
      <c r="H9" s="227"/>
    </row>
    <row r="10" spans="1:8" ht="21.95" customHeight="1" x14ac:dyDescent="0.25">
      <c r="A10" s="3" t="s">
        <v>17</v>
      </c>
      <c r="B10" s="2"/>
      <c r="C10" s="2"/>
      <c r="D10" s="3"/>
      <c r="E10" s="3"/>
      <c r="F10" s="3"/>
      <c r="G10" s="3"/>
      <c r="H10" s="3"/>
    </row>
    <row r="11" spans="1:8" ht="18.75" x14ac:dyDescent="0.3">
      <c r="A11" s="2"/>
      <c r="B11" s="2"/>
      <c r="C11" s="2"/>
      <c r="D11" s="1"/>
      <c r="E11" s="3"/>
      <c r="F11" s="3"/>
      <c r="G11" s="229" t="s">
        <v>18</v>
      </c>
      <c r="H11" s="229"/>
    </row>
    <row r="12" spans="1:8" ht="20.25" customHeight="1" x14ac:dyDescent="0.25">
      <c r="A12" s="230" t="s">
        <v>19</v>
      </c>
      <c r="B12" s="232" t="s">
        <v>20</v>
      </c>
      <c r="C12" s="233"/>
      <c r="D12" s="233"/>
      <c r="E12" s="233"/>
      <c r="F12" s="234"/>
      <c r="G12" s="235" t="s">
        <v>4</v>
      </c>
      <c r="H12" s="237" t="s">
        <v>21</v>
      </c>
    </row>
    <row r="13" spans="1:8" ht="25.5" x14ac:dyDescent="0.25">
      <c r="A13" s="231"/>
      <c r="B13" s="4" t="s">
        <v>34</v>
      </c>
      <c r="C13" s="4" t="s">
        <v>22</v>
      </c>
      <c r="D13" s="4" t="s">
        <v>23</v>
      </c>
      <c r="E13" s="4" t="s">
        <v>24</v>
      </c>
      <c r="F13" s="5" t="s">
        <v>25</v>
      </c>
      <c r="G13" s="236"/>
      <c r="H13" s="238"/>
    </row>
    <row r="14" spans="1:8" x14ac:dyDescent="0.25">
      <c r="A14" s="6" t="s">
        <v>26</v>
      </c>
      <c r="B14" s="6" t="s">
        <v>27</v>
      </c>
      <c r="C14" s="6" t="s">
        <v>28</v>
      </c>
      <c r="D14" s="7" t="s">
        <v>29</v>
      </c>
      <c r="E14" s="7" t="s">
        <v>30</v>
      </c>
      <c r="F14" s="6" t="s">
        <v>31</v>
      </c>
      <c r="G14" s="6" t="s">
        <v>32</v>
      </c>
      <c r="H14" s="7">
        <v>1</v>
      </c>
    </row>
    <row r="15" spans="1:8" ht="24.95" customHeight="1" x14ac:dyDescent="0.25">
      <c r="A15" s="11">
        <v>10</v>
      </c>
      <c r="B15" s="12">
        <v>11</v>
      </c>
      <c r="C15" s="13">
        <v>9300</v>
      </c>
      <c r="D15" s="13">
        <v>9301</v>
      </c>
      <c r="E15" s="14">
        <v>0</v>
      </c>
      <c r="F15" s="14">
        <v>0</v>
      </c>
      <c r="G15" s="115"/>
      <c r="H15" s="167"/>
    </row>
    <row r="16" spans="1:8" s="146" customFormat="1" ht="63.75" customHeight="1" x14ac:dyDescent="0.25">
      <c r="A16" s="170"/>
      <c r="B16" s="171"/>
      <c r="C16" s="172"/>
      <c r="D16" s="172"/>
      <c r="E16" s="173"/>
      <c r="F16" s="173"/>
      <c r="G16" s="7"/>
      <c r="H16" s="166"/>
    </row>
    <row r="17" spans="1:9" s="146" customFormat="1" ht="24.95" customHeight="1" x14ac:dyDescent="0.25">
      <c r="A17" s="170"/>
      <c r="B17" s="171"/>
      <c r="C17" s="172"/>
      <c r="D17" s="172"/>
      <c r="E17" s="173"/>
      <c r="F17" s="173"/>
      <c r="G17" s="175"/>
      <c r="H17" s="174"/>
    </row>
    <row r="18" spans="1:9" s="146" customFormat="1" ht="24.95" customHeight="1" x14ac:dyDescent="0.25">
      <c r="A18" s="170"/>
      <c r="B18" s="171"/>
      <c r="C18" s="172"/>
      <c r="D18" s="172"/>
      <c r="E18" s="173"/>
      <c r="F18" s="173"/>
      <c r="G18" s="175"/>
      <c r="H18" s="174"/>
    </row>
    <row r="19" spans="1:9" s="146" customFormat="1" ht="24.95" customHeight="1" x14ac:dyDescent="0.25">
      <c r="A19" s="170"/>
      <c r="B19" s="171"/>
      <c r="C19" s="172"/>
      <c r="D19" s="172"/>
      <c r="E19" s="173"/>
      <c r="F19" s="173"/>
      <c r="G19" s="175"/>
      <c r="H19" s="174"/>
    </row>
    <row r="20" spans="1:9" s="146" customFormat="1" ht="24.95" customHeight="1" x14ac:dyDescent="0.25">
      <c r="A20" s="170"/>
      <c r="B20" s="171"/>
      <c r="C20" s="172"/>
      <c r="D20" s="172"/>
      <c r="E20" s="173"/>
      <c r="F20" s="173"/>
      <c r="G20" s="175"/>
      <c r="H20" s="174"/>
    </row>
    <row r="21" spans="1:9" s="146" customFormat="1" ht="24.95" customHeight="1" x14ac:dyDescent="0.25">
      <c r="A21" s="170"/>
      <c r="B21" s="171"/>
      <c r="C21" s="172"/>
      <c r="D21" s="172"/>
      <c r="E21" s="173"/>
      <c r="F21" s="173"/>
      <c r="G21" s="175"/>
      <c r="H21" s="174"/>
    </row>
    <row r="22" spans="1:9" s="146" customFormat="1" ht="24.95" customHeight="1" x14ac:dyDescent="0.25">
      <c r="A22" s="170"/>
      <c r="B22" s="171"/>
      <c r="C22" s="172"/>
      <c r="D22" s="172"/>
      <c r="E22" s="173"/>
      <c r="F22" s="173"/>
      <c r="G22" s="175"/>
      <c r="H22" s="174"/>
    </row>
    <row r="23" spans="1:9" ht="30.75" customHeight="1" x14ac:dyDescent="0.25">
      <c r="A23" s="9"/>
      <c r="B23" s="9"/>
      <c r="C23" s="9"/>
      <c r="D23" s="9"/>
      <c r="E23" s="9"/>
      <c r="F23" s="9"/>
      <c r="G23" s="156" t="s">
        <v>33</v>
      </c>
      <c r="H23" s="168">
        <f>H15</f>
        <v>0</v>
      </c>
    </row>
    <row r="24" spans="1:9" ht="29.25" customHeight="1" x14ac:dyDescent="0.25">
      <c r="A24" s="220" t="s">
        <v>103</v>
      </c>
      <c r="B24" s="220"/>
      <c r="C24" s="148" t="str">
        <f>[1]!VND('T.Tri 2026'!$H$23,"Uni",TRUE,TRUE,FALSE)</f>
        <v>không</v>
      </c>
      <c r="D24" s="147"/>
      <c r="E24" s="147"/>
      <c r="F24" s="147"/>
      <c r="G24" s="147"/>
      <c r="H24" s="147"/>
      <c r="I24" s="169"/>
    </row>
    <row r="25" spans="1:9" ht="20.25" customHeight="1" x14ac:dyDescent="0.25">
      <c r="A25" s="3"/>
      <c r="B25" s="3"/>
      <c r="C25" s="3"/>
      <c r="D25" s="3"/>
      <c r="E25" s="3"/>
      <c r="F25" s="10"/>
      <c r="G25" s="214"/>
      <c r="H25" s="214"/>
    </row>
    <row r="26" spans="1:9" ht="21" customHeight="1" x14ac:dyDescent="0.25">
      <c r="A26" s="218"/>
      <c r="B26" s="218"/>
      <c r="C26" s="218"/>
      <c r="D26" s="218"/>
      <c r="E26" s="218"/>
      <c r="F26" s="218"/>
      <c r="G26" s="218"/>
      <c r="H26" s="218"/>
    </row>
    <row r="27" spans="1:9" ht="16.5" x14ac:dyDescent="0.25">
      <c r="A27" s="3"/>
      <c r="B27" s="3"/>
      <c r="C27" s="3"/>
      <c r="D27" s="3"/>
      <c r="E27" s="3"/>
      <c r="F27" s="3"/>
      <c r="G27" s="218"/>
      <c r="H27" s="218"/>
    </row>
    <row r="28" spans="1:9" ht="16.5" x14ac:dyDescent="0.25">
      <c r="A28" s="3"/>
      <c r="B28" s="3"/>
      <c r="C28" s="3"/>
      <c r="D28" s="3"/>
      <c r="E28" s="3"/>
      <c r="F28" s="3"/>
      <c r="G28" s="154"/>
      <c r="H28" s="154"/>
    </row>
    <row r="29" spans="1:9" ht="16.5" x14ac:dyDescent="0.25">
      <c r="A29" s="3"/>
      <c r="B29" s="3"/>
      <c r="C29" s="3"/>
      <c r="D29" s="3"/>
      <c r="E29" s="3"/>
      <c r="F29" s="3"/>
      <c r="G29" s="3"/>
      <c r="H29" s="3"/>
    </row>
    <row r="30" spans="1:9" ht="16.5" x14ac:dyDescent="0.25">
      <c r="A30" s="2"/>
      <c r="B30" s="2"/>
      <c r="C30" s="2"/>
      <c r="D30" s="2"/>
      <c r="E30" s="2"/>
      <c r="F30" s="2"/>
      <c r="G30" s="2"/>
      <c r="H30" s="2"/>
    </row>
    <row r="31" spans="1:9" ht="17.25" x14ac:dyDescent="0.25">
      <c r="A31" s="219"/>
      <c r="B31" s="219"/>
      <c r="C31" s="219"/>
      <c r="D31" s="219"/>
      <c r="E31" s="219"/>
      <c r="F31" s="219"/>
      <c r="G31" s="219"/>
      <c r="H31" s="219"/>
    </row>
    <row r="32" spans="1:9" ht="17.25" x14ac:dyDescent="0.25">
      <c r="A32" s="155"/>
      <c r="B32" s="155"/>
      <c r="C32" s="155"/>
      <c r="D32" s="155"/>
      <c r="E32" s="155"/>
      <c r="F32" s="155"/>
      <c r="G32" s="155"/>
      <c r="H32" s="155"/>
    </row>
    <row r="35" spans="1:8" ht="17.25" x14ac:dyDescent="0.25">
      <c r="A35" s="128"/>
      <c r="B35" s="128"/>
      <c r="C35" s="128"/>
      <c r="D35" s="128"/>
      <c r="E35" s="128"/>
      <c r="F35" s="128"/>
      <c r="G35" s="128"/>
      <c r="H35" s="128"/>
    </row>
    <row r="36" spans="1:8" ht="17.25" x14ac:dyDescent="0.25">
      <c r="A36" s="128"/>
      <c r="B36" s="128"/>
      <c r="C36" s="128"/>
      <c r="D36" s="128"/>
      <c r="E36" s="128"/>
      <c r="F36" s="128"/>
      <c r="G36" s="128"/>
      <c r="H36" s="128"/>
    </row>
  </sheetData>
  <mergeCells count="27">
    <mergeCell ref="G26:H26"/>
    <mergeCell ref="G27:H27"/>
    <mergeCell ref="A31:F31"/>
    <mergeCell ref="G31:H31"/>
    <mergeCell ref="A1:F1"/>
    <mergeCell ref="G1:H1"/>
    <mergeCell ref="A2:F2"/>
    <mergeCell ref="G2:H2"/>
    <mergeCell ref="A3:F3"/>
    <mergeCell ref="G3:H3"/>
    <mergeCell ref="A4:H4"/>
    <mergeCell ref="A5:H5"/>
    <mergeCell ref="A6:H6"/>
    <mergeCell ref="A7:H7"/>
    <mergeCell ref="A8:B8"/>
    <mergeCell ref="C8:F8"/>
    <mergeCell ref="G8:H8"/>
    <mergeCell ref="A9:F9"/>
    <mergeCell ref="G9:H9"/>
    <mergeCell ref="G11:H11"/>
    <mergeCell ref="A12:A13"/>
    <mergeCell ref="B12:F12"/>
    <mergeCell ref="G12:G13"/>
    <mergeCell ref="H12:H13"/>
    <mergeCell ref="A24:B24"/>
    <mergeCell ref="G25:H25"/>
    <mergeCell ref="A26:F26"/>
  </mergeCells>
  <printOptions horizontalCentered="1"/>
  <pageMargins left="0.7" right="0" top="0.5" bottom="0.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F78A-7403-42EE-A698-7B6566575C40}">
  <dimension ref="A1:H33"/>
  <sheetViews>
    <sheetView topLeftCell="A22" workbookViewId="0">
      <selection activeCell="E70" sqref="E70"/>
    </sheetView>
  </sheetViews>
  <sheetFormatPr defaultRowHeight="15" x14ac:dyDescent="0.25"/>
  <cols>
    <col min="2" max="2" width="26.85546875" customWidth="1"/>
    <col min="3" max="3" width="17.7109375" customWidth="1"/>
    <col min="4" max="4" width="17.85546875" customWidth="1"/>
    <col min="5" max="5" width="21.42578125" customWidth="1"/>
  </cols>
  <sheetData>
    <row r="1" spans="1:5" ht="18" customHeight="1" x14ac:dyDescent="0.25">
      <c r="A1" s="239" t="s">
        <v>52</v>
      </c>
      <c r="B1" s="239"/>
      <c r="C1" s="239"/>
      <c r="D1" s="239"/>
      <c r="E1" s="239"/>
    </row>
    <row r="2" spans="1:5" ht="16.5" x14ac:dyDescent="0.25">
      <c r="A2" s="19"/>
      <c r="B2" s="19"/>
      <c r="C2" s="20"/>
      <c r="D2" s="19"/>
      <c r="E2" s="19"/>
    </row>
    <row r="3" spans="1:5" s="8" customFormat="1" ht="24.95" customHeight="1" x14ac:dyDescent="0.25">
      <c r="A3" s="55" t="s">
        <v>53</v>
      </c>
      <c r="B3" s="55"/>
      <c r="C3" s="56"/>
      <c r="D3" s="55" t="s">
        <v>125</v>
      </c>
      <c r="E3" s="24"/>
    </row>
    <row r="4" spans="1:5" s="8" customFormat="1" ht="24.95" customHeight="1" x14ac:dyDescent="0.25">
      <c r="A4" s="55" t="s">
        <v>54</v>
      </c>
      <c r="B4" s="55"/>
      <c r="C4" s="57" t="s">
        <v>43</v>
      </c>
      <c r="D4" s="57" t="s">
        <v>55</v>
      </c>
      <c r="E4" s="55" t="s">
        <v>56</v>
      </c>
    </row>
    <row r="5" spans="1:5" ht="18.75" customHeight="1" x14ac:dyDescent="0.25">
      <c r="A5" s="19"/>
      <c r="B5" s="19"/>
      <c r="C5" s="20"/>
      <c r="D5" s="19"/>
      <c r="E5" s="149" t="s">
        <v>57</v>
      </c>
    </row>
    <row r="6" spans="1:5" ht="24.95" customHeight="1" x14ac:dyDescent="0.25">
      <c r="A6" s="240" t="s">
        <v>1</v>
      </c>
      <c r="B6" s="241"/>
      <c r="C6" s="17" t="s">
        <v>58</v>
      </c>
      <c r="D6" s="17" t="s">
        <v>59</v>
      </c>
      <c r="E6" s="17" t="s">
        <v>60</v>
      </c>
    </row>
    <row r="7" spans="1:5" ht="24.95" customHeight="1" x14ac:dyDescent="0.25">
      <c r="A7" s="242" t="s">
        <v>61</v>
      </c>
      <c r="B7" s="243"/>
      <c r="C7" s="21"/>
      <c r="D7" s="22">
        <f>C7</f>
        <v>0</v>
      </c>
      <c r="E7" s="23"/>
    </row>
    <row r="8" spans="1:5" ht="24.95" customHeight="1" x14ac:dyDescent="0.25">
      <c r="A8" s="25" t="s">
        <v>62</v>
      </c>
      <c r="B8" s="25"/>
      <c r="C8" s="26"/>
      <c r="D8" s="26"/>
      <c r="E8" s="27"/>
    </row>
    <row r="9" spans="1:5" ht="24.95" customHeight="1" x14ac:dyDescent="0.25">
      <c r="A9" s="25" t="s">
        <v>62</v>
      </c>
      <c r="B9" s="25"/>
      <c r="C9" s="26"/>
      <c r="D9" s="26"/>
      <c r="E9" s="27"/>
    </row>
    <row r="10" spans="1:5" ht="24.95" customHeight="1" x14ac:dyDescent="0.25">
      <c r="A10" s="25" t="s">
        <v>62</v>
      </c>
      <c r="B10" s="25"/>
      <c r="C10" s="26"/>
      <c r="D10" s="28"/>
      <c r="E10" s="27"/>
    </row>
    <row r="11" spans="1:5" ht="24.95" customHeight="1" x14ac:dyDescent="0.25">
      <c r="A11" s="25" t="s">
        <v>62</v>
      </c>
      <c r="B11" s="25"/>
      <c r="C11" s="26"/>
      <c r="D11" s="28"/>
      <c r="E11" s="27"/>
    </row>
    <row r="12" spans="1:5" ht="24.95" customHeight="1" x14ac:dyDescent="0.25">
      <c r="A12" s="29" t="s">
        <v>63</v>
      </c>
      <c r="B12" s="29"/>
      <c r="C12" s="26"/>
      <c r="D12" s="26"/>
      <c r="E12" s="27"/>
    </row>
    <row r="13" spans="1:5" ht="24.95" customHeight="1" x14ac:dyDescent="0.25">
      <c r="A13" s="25" t="s">
        <v>64</v>
      </c>
      <c r="B13" s="25"/>
      <c r="C13" s="26"/>
      <c r="D13" s="26">
        <f>C13</f>
        <v>0</v>
      </c>
      <c r="E13" s="27"/>
    </row>
    <row r="14" spans="1:5" ht="24.95" customHeight="1" x14ac:dyDescent="0.25">
      <c r="A14" s="25" t="s">
        <v>65</v>
      </c>
      <c r="B14" s="25"/>
      <c r="C14" s="26"/>
      <c r="D14" s="26"/>
      <c r="E14" s="27"/>
    </row>
    <row r="15" spans="1:5" ht="24.95" customHeight="1" x14ac:dyDescent="0.25">
      <c r="A15" s="25" t="s">
        <v>66</v>
      </c>
      <c r="B15" s="25"/>
      <c r="C15" s="26"/>
      <c r="D15" s="26"/>
      <c r="E15" s="27"/>
    </row>
    <row r="16" spans="1:5" ht="24.95" customHeight="1" x14ac:dyDescent="0.25">
      <c r="A16" s="25" t="s">
        <v>67</v>
      </c>
      <c r="B16" s="25"/>
      <c r="C16" s="26"/>
      <c r="D16" s="26"/>
      <c r="E16" s="30"/>
    </row>
    <row r="17" spans="1:8" ht="24.95" customHeight="1" x14ac:dyDescent="0.25">
      <c r="A17" s="31" t="s">
        <v>68</v>
      </c>
      <c r="B17" s="31"/>
      <c r="C17" s="32"/>
      <c r="D17" s="32">
        <f>C17</f>
        <v>0</v>
      </c>
      <c r="E17" s="33"/>
    </row>
    <row r="18" spans="1:8" ht="35.25" customHeight="1" x14ac:dyDescent="0.25">
      <c r="A18" s="133" t="e">
        <f>[1]!VND(#REF!,"Uni",TRUE,TRUE,FALSE)</f>
        <v>#VALUE!</v>
      </c>
      <c r="B18" s="134"/>
      <c r="C18" s="131"/>
      <c r="D18" s="131"/>
      <c r="E18" s="132"/>
    </row>
    <row r="19" spans="1:8" ht="24.95" customHeight="1" x14ac:dyDescent="0.25">
      <c r="A19" s="58" t="s">
        <v>69</v>
      </c>
      <c r="B19" s="58"/>
      <c r="C19" s="59">
        <v>0</v>
      </c>
      <c r="D19" s="58" t="s">
        <v>70</v>
      </c>
      <c r="E19" s="60"/>
    </row>
    <row r="20" spans="1:8" ht="24.95" customHeight="1" x14ac:dyDescent="0.25">
      <c r="A20" s="244" t="s">
        <v>71</v>
      </c>
      <c r="B20" s="245"/>
      <c r="C20" s="246"/>
      <c r="D20" s="246"/>
      <c r="E20" s="247"/>
    </row>
    <row r="21" spans="1:8" ht="6.75" customHeight="1" x14ac:dyDescent="0.25">
      <c r="A21" s="158"/>
      <c r="B21" s="159"/>
      <c r="C21" s="160"/>
      <c r="D21" s="160"/>
      <c r="E21" s="161"/>
    </row>
    <row r="22" spans="1:8" ht="47.25" customHeight="1" x14ac:dyDescent="0.25">
      <c r="A22" s="135" t="s">
        <v>118</v>
      </c>
      <c r="B22" s="248" t="s">
        <v>132</v>
      </c>
      <c r="C22" s="248"/>
      <c r="D22" s="248"/>
      <c r="E22" s="249"/>
    </row>
    <row r="23" spans="1:8" ht="13.5" customHeight="1" x14ac:dyDescent="0.25">
      <c r="A23" s="19" t="s">
        <v>72</v>
      </c>
      <c r="B23" s="19"/>
      <c r="C23" s="20"/>
      <c r="D23" s="250"/>
      <c r="E23" s="250"/>
      <c r="H23" t="s">
        <v>72</v>
      </c>
    </row>
    <row r="24" spans="1:8" ht="16.5" x14ac:dyDescent="0.25">
      <c r="A24" s="157"/>
      <c r="B24" s="157"/>
      <c r="C24" s="34"/>
      <c r="D24" s="239"/>
      <c r="E24" s="239"/>
    </row>
    <row r="25" spans="1:8" ht="16.5" x14ac:dyDescent="0.25">
      <c r="A25" s="165"/>
      <c r="B25" s="165"/>
      <c r="C25" s="20"/>
      <c r="D25" s="35"/>
      <c r="E25" s="35"/>
    </row>
    <row r="26" spans="1:8" ht="16.5" x14ac:dyDescent="0.25">
      <c r="A26" s="165"/>
      <c r="B26" s="165"/>
      <c r="C26" s="20"/>
      <c r="D26" s="35"/>
      <c r="E26" s="35"/>
    </row>
    <row r="27" spans="1:8" ht="16.5" x14ac:dyDescent="0.25">
      <c r="A27" s="165"/>
      <c r="B27" s="165"/>
      <c r="C27" s="20"/>
      <c r="D27" s="35"/>
      <c r="E27" s="35"/>
    </row>
    <row r="28" spans="1:8" ht="16.5" x14ac:dyDescent="0.25">
      <c r="A28" s="165"/>
      <c r="B28" s="165"/>
      <c r="C28" s="20"/>
      <c r="D28" s="19"/>
      <c r="E28" s="19"/>
    </row>
    <row r="29" spans="1:8" ht="16.5" x14ac:dyDescent="0.25">
      <c r="A29" s="165"/>
      <c r="B29" s="165"/>
      <c r="C29" s="20"/>
      <c r="D29" s="19"/>
      <c r="E29" s="19"/>
    </row>
    <row r="30" spans="1:8" ht="16.5" x14ac:dyDescent="0.25">
      <c r="A30" s="157"/>
      <c r="B30" s="157"/>
      <c r="C30" s="34"/>
      <c r="D30" s="239"/>
      <c r="E30" s="239"/>
    </row>
    <row r="31" spans="1:8" ht="16.5" x14ac:dyDescent="0.25">
      <c r="A31" s="19"/>
      <c r="B31" s="19"/>
      <c r="C31" s="20"/>
      <c r="D31" s="19"/>
      <c r="E31" s="19"/>
    </row>
    <row r="32" spans="1:8" ht="16.5" x14ac:dyDescent="0.25">
      <c r="A32" s="19"/>
      <c r="B32" s="19"/>
      <c r="C32" s="20"/>
      <c r="D32" s="19"/>
      <c r="E32" s="19"/>
    </row>
    <row r="33" spans="1:5" ht="16.5" x14ac:dyDescent="0.25">
      <c r="A33" s="19"/>
      <c r="B33" s="19"/>
      <c r="C33" s="20"/>
      <c r="D33" s="19"/>
      <c r="E33" s="19"/>
    </row>
  </sheetData>
  <mergeCells count="8">
    <mergeCell ref="D24:E24"/>
    <mergeCell ref="D30:E30"/>
    <mergeCell ref="A1:E1"/>
    <mergeCell ref="A6:B6"/>
    <mergeCell ref="A7:B7"/>
    <mergeCell ref="A20:E20"/>
    <mergeCell ref="B22:E22"/>
    <mergeCell ref="D23:E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A39E-D94C-4652-A581-E18CD0339DAB}">
  <dimension ref="A1:M36"/>
  <sheetViews>
    <sheetView tabSelected="1" workbookViewId="0">
      <selection activeCell="S17" sqref="S17"/>
    </sheetView>
  </sheetViews>
  <sheetFormatPr defaultRowHeight="15" x14ac:dyDescent="0.25"/>
  <cols>
    <col min="9" max="9" width="17.140625" customWidth="1"/>
  </cols>
  <sheetData>
    <row r="1" spans="1:13" s="36" customFormat="1" ht="16.5" x14ac:dyDescent="0.2">
      <c r="A1" s="251"/>
      <c r="B1" s="251"/>
      <c r="C1" s="251"/>
      <c r="D1" s="252" t="s">
        <v>77</v>
      </c>
      <c r="E1" s="252"/>
      <c r="F1" s="252"/>
      <c r="G1" s="252"/>
      <c r="H1" s="252"/>
      <c r="I1" s="252"/>
    </row>
    <row r="2" spans="1:13" s="36" customFormat="1" ht="16.5" x14ac:dyDescent="0.25">
      <c r="A2" s="252"/>
      <c r="B2" s="252"/>
      <c r="C2" s="252"/>
      <c r="D2" s="253" t="s">
        <v>78</v>
      </c>
      <c r="E2" s="239"/>
      <c r="F2" s="239"/>
      <c r="G2" s="239"/>
      <c r="H2" s="239"/>
      <c r="I2" s="239"/>
    </row>
    <row r="3" spans="1:13" s="36" customFormat="1" ht="20.25" customHeight="1" x14ac:dyDescent="0.25">
      <c r="A3" s="254"/>
      <c r="B3" s="254"/>
      <c r="C3" s="254"/>
      <c r="D3" s="250" t="s">
        <v>124</v>
      </c>
      <c r="E3" s="250"/>
      <c r="F3" s="250"/>
      <c r="G3" s="250"/>
      <c r="H3" s="250"/>
      <c r="I3" s="250"/>
    </row>
    <row r="4" spans="1:13" s="36" customFormat="1" ht="37.5" customHeight="1" x14ac:dyDescent="0.2">
      <c r="A4" s="264" t="s">
        <v>79</v>
      </c>
      <c r="B4" s="264"/>
      <c r="C4" s="264"/>
      <c r="D4" s="264"/>
      <c r="E4" s="264"/>
      <c r="F4" s="264"/>
      <c r="G4" s="264"/>
      <c r="H4" s="264"/>
      <c r="I4" s="264"/>
    </row>
    <row r="5" spans="1:13" s="36" customFormat="1" ht="8.25" customHeight="1" x14ac:dyDescent="0.25">
      <c r="A5" s="38"/>
      <c r="B5" s="38"/>
      <c r="C5" s="38"/>
      <c r="D5" s="38"/>
      <c r="E5" s="38"/>
      <c r="F5" s="38"/>
      <c r="G5" s="39"/>
      <c r="H5" s="39"/>
      <c r="I5" s="18"/>
    </row>
    <row r="6" spans="1:13" s="36" customFormat="1" ht="18.75" x14ac:dyDescent="0.3">
      <c r="A6" s="265"/>
      <c r="B6" s="265"/>
      <c r="C6" s="265"/>
      <c r="D6" s="265"/>
      <c r="E6" s="265"/>
      <c r="F6" s="265"/>
      <c r="G6" s="265"/>
      <c r="H6" s="265"/>
      <c r="I6" s="265"/>
    </row>
    <row r="7" spans="1:13" s="36" customFormat="1" ht="7.5" customHeight="1" x14ac:dyDescent="0.2">
      <c r="G7" s="37"/>
      <c r="H7" s="37"/>
    </row>
    <row r="8" spans="1:13" s="36" customFormat="1" ht="18" customHeight="1" x14ac:dyDescent="0.25">
      <c r="A8" s="40" t="s">
        <v>80</v>
      </c>
      <c r="B8" s="40"/>
      <c r="C8" s="19"/>
      <c r="D8" s="266"/>
      <c r="E8" s="266"/>
      <c r="F8" s="266"/>
      <c r="G8" s="266"/>
      <c r="H8" s="266"/>
      <c r="I8" s="266"/>
    </row>
    <row r="9" spans="1:13" s="36" customFormat="1" ht="18" customHeight="1" x14ac:dyDescent="0.25">
      <c r="A9" s="24" t="s">
        <v>81</v>
      </c>
      <c r="B9" s="24"/>
      <c r="C9" s="19"/>
      <c r="D9" s="19"/>
      <c r="E9" s="19"/>
      <c r="F9" s="19"/>
      <c r="G9" s="41"/>
      <c r="H9" s="41"/>
      <c r="I9" s="19"/>
    </row>
    <row r="10" spans="1:13" s="36" customFormat="1" ht="24" customHeight="1" x14ac:dyDescent="0.2">
      <c r="A10" s="267"/>
      <c r="B10" s="267"/>
      <c r="C10" s="267"/>
      <c r="D10" s="267"/>
      <c r="E10" s="267"/>
      <c r="F10" s="267"/>
      <c r="G10" s="267"/>
      <c r="H10" s="267"/>
      <c r="I10" s="267"/>
    </row>
    <row r="11" spans="1:13" s="36" customFormat="1" ht="33.75" customHeight="1" x14ac:dyDescent="0.2">
      <c r="A11" s="267"/>
      <c r="B11" s="267"/>
      <c r="C11" s="267"/>
      <c r="D11" s="267"/>
      <c r="E11" s="267"/>
      <c r="F11" s="267"/>
      <c r="G11" s="267"/>
      <c r="H11" s="267"/>
      <c r="I11" s="267"/>
    </row>
    <row r="12" spans="1:13" s="36" customFormat="1" ht="33" customHeight="1" x14ac:dyDescent="0.2">
      <c r="A12" s="267"/>
      <c r="B12" s="267"/>
      <c r="C12" s="267"/>
      <c r="D12" s="267"/>
      <c r="E12" s="267"/>
      <c r="F12" s="267"/>
      <c r="G12" s="267"/>
      <c r="H12" s="267"/>
      <c r="I12" s="267"/>
      <c r="M12" s="130"/>
    </row>
    <row r="13" spans="1:13" s="36" customFormat="1" ht="18" customHeight="1" x14ac:dyDescent="0.2">
      <c r="A13" s="40" t="s">
        <v>107</v>
      </c>
      <c r="B13" s="40"/>
      <c r="C13" s="24"/>
      <c r="D13" s="24"/>
      <c r="E13" s="24"/>
      <c r="F13" s="24"/>
      <c r="G13" s="43"/>
      <c r="H13" s="255"/>
      <c r="I13" s="255"/>
    </row>
    <row r="14" spans="1:13" s="36" customFormat="1" ht="18" customHeight="1" x14ac:dyDescent="0.2">
      <c r="A14" s="40" t="s">
        <v>86</v>
      </c>
      <c r="B14" s="40"/>
      <c r="C14" s="49" t="s">
        <v>87</v>
      </c>
      <c r="D14" s="49" t="s">
        <v>55</v>
      </c>
      <c r="E14" s="256" t="s">
        <v>88</v>
      </c>
      <c r="F14" s="257"/>
      <c r="G14" s="257"/>
      <c r="I14" s="48"/>
    </row>
    <row r="15" spans="1:13" s="42" customFormat="1" ht="18" customHeight="1" x14ac:dyDescent="0.25">
      <c r="A15" s="40" t="s">
        <v>115</v>
      </c>
      <c r="B15" s="40"/>
      <c r="C15" s="24"/>
      <c r="D15" s="24"/>
      <c r="E15" s="24"/>
      <c r="F15" s="24"/>
      <c r="G15" s="43"/>
      <c r="H15" s="255"/>
      <c r="I15" s="255"/>
    </row>
    <row r="16" spans="1:13" s="42" customFormat="1" ht="18" customHeight="1" x14ac:dyDescent="0.25">
      <c r="A16" s="44" t="s">
        <v>108</v>
      </c>
      <c r="B16" s="44"/>
      <c r="C16" s="258"/>
      <c r="D16" s="258"/>
      <c r="E16" s="19"/>
      <c r="F16" s="19"/>
      <c r="G16" s="41"/>
      <c r="H16" s="41"/>
      <c r="I16" s="45"/>
    </row>
    <row r="17" spans="1:9" s="36" customFormat="1" ht="53.25" customHeight="1" x14ac:dyDescent="0.2">
      <c r="A17" s="259" t="s">
        <v>4</v>
      </c>
      <c r="B17" s="260"/>
      <c r="C17" s="261"/>
      <c r="D17" s="262" t="s">
        <v>82</v>
      </c>
      <c r="E17" s="263"/>
      <c r="F17" s="262" t="s">
        <v>83</v>
      </c>
      <c r="G17" s="263"/>
      <c r="H17" s="262" t="s">
        <v>84</v>
      </c>
      <c r="I17" s="263"/>
    </row>
    <row r="18" spans="1:9" s="36" customFormat="1" ht="81.75" customHeight="1" x14ac:dyDescent="0.2">
      <c r="A18" s="274"/>
      <c r="B18" s="275"/>
      <c r="C18" s="276"/>
      <c r="D18" s="277"/>
      <c r="E18" s="278"/>
      <c r="F18" s="277"/>
      <c r="G18" s="278"/>
      <c r="H18" s="277"/>
      <c r="I18" s="278"/>
    </row>
    <row r="19" spans="1:9" s="36" customFormat="1" ht="22.5" customHeight="1" x14ac:dyDescent="0.2">
      <c r="A19" s="259" t="s">
        <v>85</v>
      </c>
      <c r="B19" s="260"/>
      <c r="C19" s="261"/>
      <c r="D19" s="279">
        <f>D18</f>
        <v>0</v>
      </c>
      <c r="E19" s="280"/>
      <c r="F19" s="281">
        <f>F18</f>
        <v>0</v>
      </c>
      <c r="G19" s="282"/>
      <c r="H19" s="46"/>
      <c r="I19" s="47">
        <f>H18</f>
        <v>0</v>
      </c>
    </row>
    <row r="20" spans="1:9" s="36" customFormat="1" ht="19.5" customHeight="1" x14ac:dyDescent="0.2">
      <c r="A20" s="40" t="s">
        <v>109</v>
      </c>
      <c r="B20" s="119"/>
      <c r="C20" s="119"/>
      <c r="D20" s="120"/>
      <c r="E20" s="120"/>
      <c r="F20" s="121"/>
      <c r="G20" s="121"/>
      <c r="H20" s="118"/>
      <c r="I20" s="118">
        <f>I19</f>
        <v>0</v>
      </c>
    </row>
    <row r="21" spans="1:9" s="36" customFormat="1" ht="31.5" customHeight="1" x14ac:dyDescent="0.2">
      <c r="A21" s="40" t="s">
        <v>117</v>
      </c>
      <c r="B21" s="53"/>
      <c r="C21" s="52"/>
      <c r="D21" s="52"/>
      <c r="E21" s="52"/>
      <c r="F21" s="52"/>
      <c r="G21" s="52"/>
      <c r="H21" s="52"/>
      <c r="I21" s="52"/>
    </row>
    <row r="22" spans="1:9" s="36" customFormat="1" ht="18" customHeight="1" x14ac:dyDescent="0.2">
      <c r="A22" s="24" t="s">
        <v>63</v>
      </c>
      <c r="B22" s="40"/>
      <c r="C22" s="163"/>
      <c r="D22" s="163"/>
      <c r="E22" s="163"/>
      <c r="F22" s="163"/>
      <c r="G22" s="163"/>
      <c r="H22" s="163"/>
      <c r="I22" s="163"/>
    </row>
    <row r="23" spans="1:9" s="36" customFormat="1" ht="18" customHeight="1" x14ac:dyDescent="0.2">
      <c r="B23" s="123" t="s">
        <v>110</v>
      </c>
      <c r="D23" s="124"/>
      <c r="E23" s="124"/>
      <c r="F23" s="124"/>
      <c r="G23" s="124"/>
      <c r="H23" s="268"/>
      <c r="I23" s="268"/>
    </row>
    <row r="24" spans="1:9" s="36" customFormat="1" ht="18" customHeight="1" x14ac:dyDescent="0.2">
      <c r="B24" s="125" t="s">
        <v>111</v>
      </c>
      <c r="D24" s="126"/>
      <c r="E24" s="126"/>
      <c r="F24" s="126"/>
      <c r="G24" s="126"/>
      <c r="H24" s="269"/>
      <c r="I24" s="269"/>
    </row>
    <row r="25" spans="1:9" s="36" customFormat="1" ht="18" customHeight="1" x14ac:dyDescent="0.2">
      <c r="B25" s="125" t="s">
        <v>112</v>
      </c>
      <c r="D25" s="126"/>
      <c r="E25" s="126"/>
      <c r="F25" s="126"/>
      <c r="G25" s="126"/>
      <c r="H25" s="164"/>
      <c r="I25" s="164"/>
    </row>
    <row r="26" spans="1:9" s="36" customFormat="1" ht="18" customHeight="1" x14ac:dyDescent="0.2">
      <c r="B26" s="127" t="s">
        <v>113</v>
      </c>
      <c r="D26" s="126"/>
      <c r="E26" s="126"/>
      <c r="F26" s="126"/>
      <c r="G26" s="126"/>
      <c r="H26" s="164"/>
      <c r="I26" s="164">
        <f>I20</f>
        <v>0</v>
      </c>
    </row>
    <row r="27" spans="1:9" s="36" customFormat="1" ht="18" customHeight="1" x14ac:dyDescent="0.2">
      <c r="A27" s="40" t="s">
        <v>89</v>
      </c>
      <c r="B27" s="40"/>
      <c r="C27" s="270"/>
      <c r="D27" s="270"/>
      <c r="E27" s="270"/>
      <c r="F27" s="270"/>
      <c r="G27" s="270"/>
      <c r="H27" s="270"/>
      <c r="I27" s="270"/>
    </row>
    <row r="28" spans="1:9" s="36" customFormat="1" ht="18" customHeight="1" x14ac:dyDescent="0.2">
      <c r="A28" s="40" t="s">
        <v>114</v>
      </c>
      <c r="B28" s="40"/>
      <c r="C28" s="271"/>
      <c r="D28" s="271"/>
      <c r="E28" s="271"/>
      <c r="F28" s="271"/>
      <c r="G28" s="271"/>
      <c r="H28" s="271"/>
      <c r="I28" s="271"/>
    </row>
    <row r="29" spans="1:9" s="36" customFormat="1" ht="18" customHeight="1" x14ac:dyDescent="0.2">
      <c r="A29" s="44" t="s">
        <v>90</v>
      </c>
      <c r="B29" s="272"/>
      <c r="C29" s="272"/>
      <c r="D29" s="272"/>
      <c r="E29" s="272"/>
      <c r="F29" s="272"/>
      <c r="G29" s="272"/>
      <c r="H29" s="272"/>
      <c r="I29" s="272"/>
    </row>
    <row r="30" spans="1:9" s="36" customFormat="1" ht="18.75" x14ac:dyDescent="0.3">
      <c r="A30" s="273" t="s">
        <v>91</v>
      </c>
      <c r="B30" s="273"/>
      <c r="C30" s="273"/>
      <c r="D30" s="273"/>
      <c r="E30" s="273" t="s">
        <v>92</v>
      </c>
      <c r="F30" s="273"/>
      <c r="G30" s="273"/>
      <c r="H30" s="273"/>
      <c r="I30" s="273"/>
    </row>
    <row r="31" spans="1:9" s="36" customFormat="1" ht="18.75" x14ac:dyDescent="0.3">
      <c r="A31" s="273"/>
      <c r="B31" s="273"/>
      <c r="C31" s="273"/>
      <c r="D31" s="273"/>
      <c r="E31" s="273"/>
      <c r="F31" s="273"/>
      <c r="G31" s="273"/>
      <c r="H31" s="273"/>
      <c r="I31" s="273"/>
    </row>
    <row r="32" spans="1:9" s="36" customFormat="1" ht="18.75" x14ac:dyDescent="0.3">
      <c r="A32" s="273"/>
      <c r="B32" s="273"/>
      <c r="C32" s="273"/>
      <c r="D32" s="273"/>
      <c r="E32" s="273"/>
      <c r="F32" s="273"/>
      <c r="G32" s="273"/>
      <c r="H32" s="273"/>
      <c r="I32" s="273"/>
    </row>
    <row r="33" spans="1:9" s="36" customFormat="1" ht="18.75" x14ac:dyDescent="0.3">
      <c r="A33" s="273"/>
      <c r="B33" s="273"/>
      <c r="C33" s="273"/>
      <c r="D33" s="273"/>
      <c r="E33" s="273"/>
      <c r="F33" s="273"/>
      <c r="G33" s="273"/>
      <c r="H33" s="273"/>
      <c r="I33" s="273"/>
    </row>
    <row r="34" spans="1:9" s="36" customFormat="1" ht="18.75" x14ac:dyDescent="0.3">
      <c r="A34" s="162"/>
      <c r="B34" s="162"/>
      <c r="C34" s="162"/>
      <c r="D34" s="162"/>
      <c r="E34" s="162"/>
      <c r="F34" s="162"/>
      <c r="G34" s="162"/>
      <c r="H34" s="162"/>
      <c r="I34" s="162"/>
    </row>
    <row r="35" spans="1:9" s="36" customFormat="1" ht="14.25" customHeight="1" x14ac:dyDescent="0.3">
      <c r="A35" s="273"/>
      <c r="B35" s="273"/>
      <c r="C35" s="273"/>
      <c r="D35" s="273"/>
      <c r="E35" s="273"/>
      <c r="F35" s="273"/>
      <c r="G35" s="273"/>
      <c r="H35" s="273"/>
      <c r="I35" s="273"/>
    </row>
    <row r="36" spans="1:9" s="36" customFormat="1" ht="21.75" customHeight="1" x14ac:dyDescent="0.3">
      <c r="A36" s="273"/>
      <c r="B36" s="273"/>
      <c r="C36" s="273"/>
      <c r="D36" s="273"/>
      <c r="E36" s="273"/>
      <c r="F36" s="273"/>
      <c r="G36" s="273"/>
      <c r="H36" s="273"/>
      <c r="I36" s="273"/>
    </row>
  </sheetData>
  <mergeCells count="44">
    <mergeCell ref="A35:D35"/>
    <mergeCell ref="E35:I35"/>
    <mergeCell ref="A36:D36"/>
    <mergeCell ref="E36:I36"/>
    <mergeCell ref="A31:D31"/>
    <mergeCell ref="E31:I31"/>
    <mergeCell ref="A32:D32"/>
    <mergeCell ref="E32:I32"/>
    <mergeCell ref="A33:D33"/>
    <mergeCell ref="E33:I33"/>
    <mergeCell ref="H23:I23"/>
    <mergeCell ref="H24:I24"/>
    <mergeCell ref="C27:I27"/>
    <mergeCell ref="C28:I28"/>
    <mergeCell ref="B29:I29"/>
    <mergeCell ref="A30:D30"/>
    <mergeCell ref="E30:I30"/>
    <mergeCell ref="A18:C18"/>
    <mergeCell ref="D18:E18"/>
    <mergeCell ref="F18:G18"/>
    <mergeCell ref="H18:I18"/>
    <mergeCell ref="A19:C19"/>
    <mergeCell ref="D19:E19"/>
    <mergeCell ref="F19:G19"/>
    <mergeCell ref="H13:I13"/>
    <mergeCell ref="E14:G14"/>
    <mergeCell ref="H15:I15"/>
    <mergeCell ref="C16:D16"/>
    <mergeCell ref="A17:C17"/>
    <mergeCell ref="D17:E17"/>
    <mergeCell ref="F17:G17"/>
    <mergeCell ref="H17:I17"/>
    <mergeCell ref="A4:I4"/>
    <mergeCell ref="A6:I6"/>
    <mergeCell ref="D8:I8"/>
    <mergeCell ref="A10:I10"/>
    <mergeCell ref="A11:I11"/>
    <mergeCell ref="A12:I12"/>
    <mergeCell ref="A1:C1"/>
    <mergeCell ref="D1:I1"/>
    <mergeCell ref="A2:C2"/>
    <mergeCell ref="D2:I2"/>
    <mergeCell ref="A3:C3"/>
    <mergeCell ref="D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QĐ</vt:lpstr>
      <vt:lpstr>Tổng hợp</vt:lpstr>
      <vt:lpstr>DA1</vt:lpstr>
      <vt:lpstr>T.Tri 2026</vt:lpstr>
      <vt:lpstr>CT1</vt:lpstr>
      <vt:lpstr>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2026-05-28T11:18:39Z</cp:lastPrinted>
  <dcterms:created xsi:type="dcterms:W3CDTF">2023-11-28T00:48:52Z</dcterms:created>
  <dcterms:modified xsi:type="dcterms:W3CDTF">2026-06-02T12:01:01Z</dcterms:modified>
</cp:coreProperties>
</file>
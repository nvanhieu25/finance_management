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D3C22A0-D20B-4C66-B67D-D2BCA0D3E662}" xr6:coauthVersionLast="47" xr6:coauthVersionMax="47" xr10:uidLastSave="{00000000-0000-0000-0000-000000000000}"/>
  <bookViews>
    <workbookView xWindow="-110" yWindow="-110" windowWidth="19420" windowHeight="11620" xr2:uid="{7489214C-6F0F-4430-9BEE-297043D40D8E}"/>
  </bookViews>
  <sheets>
    <sheet name="TH" sheetId="8" r:id="rId1"/>
    <sheet name="DA1" sheetId="1" r:id="rId2"/>
    <sheet name="DA2" sheetId="3" r:id="rId3"/>
    <sheet name="DA3" sheetId="4" r:id="rId4"/>
    <sheet name="DA4" sheetId="5" r:id="rId5"/>
    <sheet name="DA5" sheetId="6" r:id="rId6"/>
    <sheet name="Thông tri" sheetId="2" r:id="rId7"/>
    <sheet name="Sheet9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2" l="1"/>
  <c r="J5" i="8" l="1"/>
  <c r="G5" i="8"/>
  <c r="G4" i="8" s="1"/>
  <c r="F5" i="8"/>
  <c r="F4" i="8" s="1"/>
  <c r="E5" i="8"/>
  <c r="D5" i="8"/>
  <c r="K9" i="8"/>
  <c r="L9" i="8" s="1"/>
  <c r="K8" i="8"/>
  <c r="L8" i="8" s="1"/>
  <c r="K7" i="8"/>
  <c r="L7" i="8" s="1"/>
  <c r="K6" i="8"/>
  <c r="M4" i="8"/>
  <c r="I4" i="8"/>
  <c r="E4" i="8"/>
  <c r="C4" i="8"/>
  <c r="H10" i="6"/>
  <c r="H9" i="6"/>
  <c r="K9" i="6" s="1"/>
  <c r="L9" i="6" s="1"/>
  <c r="H8" i="6"/>
  <c r="K8" i="6" s="1"/>
  <c r="L8" i="6" s="1"/>
  <c r="H7" i="6"/>
  <c r="K7" i="6" s="1"/>
  <c r="L7" i="6" s="1"/>
  <c r="H6" i="6"/>
  <c r="K6" i="6" s="1"/>
  <c r="M4" i="6"/>
  <c r="I4" i="6"/>
  <c r="G4" i="6"/>
  <c r="J4" i="6" s="1"/>
  <c r="F4" i="6"/>
  <c r="E4" i="6"/>
  <c r="D4" i="6"/>
  <c r="C4" i="6"/>
  <c r="H10" i="5"/>
  <c r="H9" i="5"/>
  <c r="K9" i="5" s="1"/>
  <c r="L9" i="5" s="1"/>
  <c r="H8" i="5"/>
  <c r="K8" i="5" s="1"/>
  <c r="L8" i="5" s="1"/>
  <c r="H7" i="5"/>
  <c r="K7" i="5" s="1"/>
  <c r="L7" i="5" s="1"/>
  <c r="H6" i="5"/>
  <c r="K6" i="5" s="1"/>
  <c r="M4" i="5"/>
  <c r="I4" i="5"/>
  <c r="G4" i="5"/>
  <c r="J4" i="5" s="1"/>
  <c r="F4" i="5"/>
  <c r="E4" i="5"/>
  <c r="D4" i="5"/>
  <c r="C4" i="5"/>
  <c r="H10" i="4"/>
  <c r="H9" i="4"/>
  <c r="K9" i="4" s="1"/>
  <c r="L9" i="4" s="1"/>
  <c r="H8" i="4"/>
  <c r="K8" i="4" s="1"/>
  <c r="L8" i="4" s="1"/>
  <c r="H7" i="4"/>
  <c r="K7" i="4" s="1"/>
  <c r="L7" i="4" s="1"/>
  <c r="H6" i="4"/>
  <c r="K6" i="4" s="1"/>
  <c r="M4" i="4"/>
  <c r="J4" i="4"/>
  <c r="I4" i="4"/>
  <c r="H4" i="4"/>
  <c r="G4" i="4"/>
  <c r="F4" i="4"/>
  <c r="E4" i="4"/>
  <c r="D4" i="4"/>
  <c r="C4" i="4"/>
  <c r="H10" i="3"/>
  <c r="H9" i="3"/>
  <c r="K9" i="3" s="1"/>
  <c r="L9" i="3" s="1"/>
  <c r="H8" i="3"/>
  <c r="K8" i="3" s="1"/>
  <c r="L8" i="3" s="1"/>
  <c r="H7" i="3"/>
  <c r="K7" i="3" s="1"/>
  <c r="L7" i="3" s="1"/>
  <c r="H6" i="3"/>
  <c r="K6" i="3" s="1"/>
  <c r="M4" i="3"/>
  <c r="I4" i="3"/>
  <c r="H4" i="3"/>
  <c r="G4" i="3"/>
  <c r="J4" i="3" s="1"/>
  <c r="F4" i="3"/>
  <c r="E4" i="3"/>
  <c r="D4" i="3"/>
  <c r="C4" i="3"/>
  <c r="H10" i="1"/>
  <c r="H4" i="1" s="1"/>
  <c r="L8" i="1"/>
  <c r="L9" i="1"/>
  <c r="K7" i="1"/>
  <c r="K4" i="1" s="1"/>
  <c r="K8" i="1"/>
  <c r="K9" i="1"/>
  <c r="H9" i="1"/>
  <c r="F4" i="1"/>
  <c r="G4" i="1"/>
  <c r="I4" i="1"/>
  <c r="M4" i="1"/>
  <c r="E4" i="1"/>
  <c r="H8" i="1"/>
  <c r="D4" i="1"/>
  <c r="C4" i="1"/>
  <c r="H7" i="1"/>
  <c r="L7" i="1" s="1"/>
  <c r="H6" i="1"/>
  <c r="K6" i="1" s="1"/>
  <c r="L6" i="1" s="1"/>
  <c r="J4" i="8" l="1"/>
  <c r="L6" i="8"/>
  <c r="L4" i="8" s="1"/>
  <c r="H4" i="8"/>
  <c r="J4" i="1"/>
  <c r="K4" i="6"/>
  <c r="L6" i="6"/>
  <c r="L4" i="6" s="1"/>
  <c r="H4" i="6"/>
  <c r="K4" i="5"/>
  <c r="L6" i="5"/>
  <c r="L4" i="5" s="1"/>
  <c r="H4" i="5"/>
  <c r="L6" i="4"/>
  <c r="L4" i="4" s="1"/>
  <c r="K4" i="4"/>
  <c r="L6" i="3"/>
  <c r="L4" i="3" s="1"/>
  <c r="K4" i="3"/>
  <c r="L4" i="1"/>
  <c r="K5" i="8" s="1"/>
  <c r="K4" i="8" s="1"/>
</calcChain>
</file>

<file path=xl/sharedStrings.xml><?xml version="1.0" encoding="utf-8"?>
<sst xmlns="http://schemas.openxmlformats.org/spreadsheetml/2006/main" count="118" uniqueCount="34">
  <si>
    <t>Ngày tháng</t>
  </si>
  <si>
    <t>Tên gói thầu</t>
  </si>
  <si>
    <t>Hợp đồng</t>
  </si>
  <si>
    <t>Phụ lục HĐ</t>
  </si>
  <si>
    <t>Tạm ứng</t>
  </si>
  <si>
    <t>TT KLHT</t>
  </si>
  <si>
    <t>Thu ứng</t>
  </si>
  <si>
    <t>Giá trị giải ngân</t>
  </si>
  <si>
    <t>NSNN</t>
  </si>
  <si>
    <t>Ngoại hối</t>
  </si>
  <si>
    <t>Tổng GT giải ngân</t>
  </si>
  <si>
    <t>Quyết toán năm 2026</t>
  </si>
  <si>
    <t>NH</t>
  </si>
  <si>
    <t>Hợp đồng số 01/2026 ngày 01/01/2026</t>
  </si>
  <si>
    <t>Tổng cộng:</t>
  </si>
  <si>
    <t>Tạm ứng chưa thu hồi</t>
  </si>
  <si>
    <t>Dự án</t>
  </si>
  <si>
    <t>Nhà thầu</t>
  </si>
  <si>
    <t>STT</t>
  </si>
  <si>
    <t>TA 96</t>
  </si>
  <si>
    <t>DA2</t>
  </si>
  <si>
    <t>DA1</t>
  </si>
  <si>
    <t>B</t>
  </si>
  <si>
    <t>QUÂN CHỦNG HẢI QUÂN</t>
  </si>
  <si>
    <t>CỘNG HOÀ XÃ HỘI CHỦ NGHĨA VIỆT NAM</t>
  </si>
  <si>
    <t>BỘ THAM MƯU</t>
  </si>
  <si>
    <t>Độc lập - Tự do - Hạnh phúc</t>
  </si>
  <si>
    <t>Số:           /TM-TCh</t>
  </si>
  <si>
    <t>Hải Phòng, ngày     tháng 3  năm 2026</t>
  </si>
  <si>
    <t>THÔNG TRI</t>
  </si>
  <si>
    <t>Tạm ưng</t>
  </si>
  <si>
    <t>QĐ phê duyệt DA</t>
  </si>
  <si>
    <t>Tờ trình phê duyệt KHLCNT</t>
  </si>
  <si>
    <t>Quyết định phê duyệt KHLCNT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</si>
</sst>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name val="Times New Roman"/>
      <family val="1"/>
    </font>
    <font>
      <sz val="10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1" fontId="3" fillId="0" borderId="2" xfId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 wrapText="1"/>
    </xf>
    <xf numFmtId="41" fontId="3" fillId="0" borderId="3" xfId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0" xfId="1" applyFont="1" applyAlignment="1">
      <alignment vertical="center"/>
    </xf>
    <xf numFmtId="41" fontId="2" fillId="0" borderId="1" xfId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41" fontId="3" fillId="0" borderId="3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1" fontId="2" fillId="0" borderId="2" xfId="1" applyFont="1" applyBorder="1" applyAlignment="1">
      <alignment horizontal="center" vertical="center"/>
    </xf>
    <xf numFmtId="41" fontId="2" fillId="0" borderId="4" xfId="1" applyFont="1" applyBorder="1" applyAlignment="1">
      <alignment horizontal="center" vertical="center"/>
    </xf>
    <xf numFmtId="41" fontId="2" fillId="0" borderId="3" xfId="1" applyFont="1" applyBorder="1" applyAlignment="1">
      <alignment horizontal="center" vertical="center"/>
    </xf>
    <xf numFmtId="41" fontId="2" fillId="0" borderId="2" xfId="1" applyFont="1" applyBorder="1" applyAlignment="1">
      <alignment horizontal="center" vertical="center"/>
    </xf>
    <xf numFmtId="41" fontId="2" fillId="0" borderId="4" xfId="1" applyFont="1" applyBorder="1" applyAlignment="1">
      <alignment horizontal="center" vertical="center"/>
    </xf>
    <xf numFmtId="41" fontId="2" fillId="0" borderId="3" xfId="1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41" fontId="2" fillId="0" borderId="2" xfId="1" applyFont="1" applyBorder="1" applyAlignment="1">
      <alignment vertical="center"/>
    </xf>
    <xf numFmtId="41" fontId="2" fillId="0" borderId="4" xfId="1" applyFont="1" applyBorder="1" applyAlignment="1">
      <alignment vertical="center"/>
    </xf>
    <xf numFmtId="41" fontId="2" fillId="0" borderId="3" xfId="1" applyFont="1" applyBorder="1" applyAlignment="1">
      <alignment vertical="center"/>
    </xf>
    <xf numFmtId="41" fontId="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2" fillId="0" borderId="0" xfId="0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2</xdr:row>
      <xdr:rowOff>19050</xdr:rowOff>
    </xdr:from>
    <xdr:to>
      <xdr:col>3</xdr:col>
      <xdr:colOff>99060</xdr:colOff>
      <xdr:row>2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ED051DF-A0C6-4563-97CA-58B8FA0F29A8}"/>
            </a:ext>
          </a:extLst>
        </xdr:cNvPr>
        <xdr:cNvCxnSpPr/>
      </xdr:nvCxnSpPr>
      <xdr:spPr>
        <a:xfrm>
          <a:off x="901700" y="41522650"/>
          <a:ext cx="8610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2</xdr:row>
      <xdr:rowOff>28575</xdr:rowOff>
    </xdr:from>
    <xdr:to>
      <xdr:col>8</xdr:col>
      <xdr:colOff>453390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1EAC2C2-D68E-4D42-AC93-E7726AC2C4FC}"/>
            </a:ext>
          </a:extLst>
        </xdr:cNvPr>
        <xdr:cNvCxnSpPr/>
      </xdr:nvCxnSpPr>
      <xdr:spPr>
        <a:xfrm>
          <a:off x="3663950" y="41532175"/>
          <a:ext cx="19202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55C7-7DF7-44A3-A57F-D77BBC4BCB72}">
  <dimension ref="A2:M18"/>
  <sheetViews>
    <sheetView tabSelected="1" workbookViewId="0">
      <selection activeCell="I11" sqref="I11"/>
    </sheetView>
  </sheetViews>
  <sheetFormatPr defaultRowHeight="14" x14ac:dyDescent="0.35"/>
  <cols>
    <col min="1" max="1" width="11.26953125" style="2" customWidth="1"/>
    <col min="2" max="2" width="19.54296875" style="2" customWidth="1"/>
    <col min="3" max="3" width="9.81640625" style="34" customWidth="1"/>
    <col min="4" max="4" width="14.26953125" style="15" customWidth="1"/>
    <col min="5" max="5" width="16.1796875" style="15" customWidth="1"/>
    <col min="6" max="6" width="14.81640625" style="15" customWidth="1"/>
    <col min="7" max="7" width="14.26953125" style="15" customWidth="1"/>
    <col min="8" max="8" width="14.1796875" style="15" customWidth="1"/>
    <col min="9" max="9" width="12.36328125" style="15" customWidth="1"/>
    <col min="10" max="10" width="13.6328125" style="15" customWidth="1"/>
    <col min="11" max="11" width="17.81640625" style="15" bestFit="1" customWidth="1"/>
    <col min="12" max="12" width="12.1796875" style="15" bestFit="1" customWidth="1"/>
    <col min="13" max="13" width="12.453125" style="15" customWidth="1"/>
    <col min="14" max="16384" width="8.7265625" style="2"/>
  </cols>
  <sheetData>
    <row r="2" spans="1:13" s="4" customFormat="1" ht="20" customHeight="1" x14ac:dyDescent="0.35">
      <c r="A2" s="6" t="s">
        <v>18</v>
      </c>
      <c r="B2" s="6" t="s">
        <v>16</v>
      </c>
      <c r="C2" s="9" t="s">
        <v>17</v>
      </c>
      <c r="D2" s="9" t="s">
        <v>4</v>
      </c>
      <c r="E2" s="10" t="s">
        <v>7</v>
      </c>
      <c r="F2" s="10"/>
      <c r="G2" s="10"/>
      <c r="H2" s="10"/>
      <c r="I2" s="11" t="s">
        <v>15</v>
      </c>
      <c r="J2" s="11" t="s">
        <v>10</v>
      </c>
      <c r="K2" s="10" t="s">
        <v>11</v>
      </c>
      <c r="L2" s="10"/>
    </row>
    <row r="3" spans="1:13" s="4" customFormat="1" ht="20" customHeight="1" x14ac:dyDescent="0.35">
      <c r="A3" s="7"/>
      <c r="B3" s="7"/>
      <c r="C3" s="12"/>
      <c r="D3" s="12"/>
      <c r="E3" s="13" t="s">
        <v>5</v>
      </c>
      <c r="F3" s="13" t="s">
        <v>6</v>
      </c>
      <c r="G3" s="13" t="s">
        <v>8</v>
      </c>
      <c r="H3" s="13" t="s">
        <v>9</v>
      </c>
      <c r="I3" s="11"/>
      <c r="J3" s="11"/>
      <c r="K3" s="13" t="s">
        <v>8</v>
      </c>
      <c r="L3" s="13" t="s">
        <v>12</v>
      </c>
    </row>
    <row r="4" spans="1:13" s="4" customFormat="1" ht="20" customHeight="1" x14ac:dyDescent="0.35">
      <c r="A4" s="17"/>
      <c r="B4" s="17" t="s">
        <v>14</v>
      </c>
      <c r="C4" s="18">
        <f>SUM(C5:C7)</f>
        <v>0</v>
      </c>
      <c r="D4" s="18"/>
      <c r="E4" s="18">
        <f>SUM(E5:E16)</f>
        <v>1100000000</v>
      </c>
      <c r="F4" s="18">
        <f t="shared" ref="F4:M4" si="0">SUM(F5:F16)</f>
        <v>500000000</v>
      </c>
      <c r="G4" s="18">
        <f t="shared" si="0"/>
        <v>1100000000</v>
      </c>
      <c r="H4" s="18">
        <f t="shared" si="0"/>
        <v>0</v>
      </c>
      <c r="I4" s="18">
        <f t="shared" si="0"/>
        <v>0</v>
      </c>
      <c r="J4" s="18">
        <f>E4-G4</f>
        <v>0</v>
      </c>
      <c r="K4" s="18">
        <f t="shared" si="0"/>
        <v>1100000000</v>
      </c>
      <c r="L4" s="18">
        <f t="shared" si="0"/>
        <v>0</v>
      </c>
      <c r="M4" s="18">
        <f t="shared" si="0"/>
        <v>0</v>
      </c>
    </row>
    <row r="5" spans="1:13" s="3" customFormat="1" ht="27.5" customHeight="1" x14ac:dyDescent="0.35">
      <c r="A5" s="8">
        <v>1</v>
      </c>
      <c r="B5" s="28" t="s">
        <v>21</v>
      </c>
      <c r="C5" s="25" t="s">
        <v>19</v>
      </c>
      <c r="D5" s="31">
        <f>'DA1'!E4</f>
        <v>500000000</v>
      </c>
      <c r="E5" s="14">
        <f>'DA1'!F4</f>
        <v>1100000000</v>
      </c>
      <c r="F5" s="14">
        <f>'DA1'!G4</f>
        <v>500000000</v>
      </c>
      <c r="G5" s="14">
        <f>'DA1'!H4</f>
        <v>1100000000</v>
      </c>
      <c r="H5" s="14"/>
      <c r="I5" s="14"/>
      <c r="J5" s="14">
        <f>'DA1'!K4</f>
        <v>1100000000</v>
      </c>
      <c r="K5" s="14">
        <f>'DA1'!L4</f>
        <v>1100000000</v>
      </c>
      <c r="L5" s="14"/>
      <c r="M5" s="14"/>
    </row>
    <row r="6" spans="1:13" s="3" customFormat="1" ht="20" customHeight="1" x14ac:dyDescent="0.35">
      <c r="A6" s="8">
        <v>2</v>
      </c>
      <c r="B6" s="29" t="s">
        <v>20</v>
      </c>
      <c r="C6" s="26" t="s">
        <v>22</v>
      </c>
      <c r="D6" s="32"/>
      <c r="E6" s="14"/>
      <c r="F6" s="14"/>
      <c r="G6" s="14"/>
      <c r="H6" s="14"/>
      <c r="I6" s="14"/>
      <c r="J6" s="14"/>
      <c r="K6" s="14">
        <f>H6</f>
        <v>0</v>
      </c>
      <c r="L6" s="14">
        <f>K6</f>
        <v>0</v>
      </c>
      <c r="M6" s="14"/>
    </row>
    <row r="7" spans="1:13" s="3" customFormat="1" ht="20" customHeight="1" x14ac:dyDescent="0.35">
      <c r="A7" s="8"/>
      <c r="B7" s="29"/>
      <c r="C7" s="26"/>
      <c r="D7" s="32"/>
      <c r="E7" s="14"/>
      <c r="F7" s="14"/>
      <c r="G7" s="14"/>
      <c r="H7" s="14"/>
      <c r="I7" s="14"/>
      <c r="J7" s="14"/>
      <c r="K7" s="14">
        <f t="shared" ref="K7:K9" si="1">H7</f>
        <v>0</v>
      </c>
      <c r="L7" s="14">
        <f>K7</f>
        <v>0</v>
      </c>
      <c r="M7" s="14"/>
    </row>
    <row r="8" spans="1:13" ht="20" customHeight="1" x14ac:dyDescent="0.35">
      <c r="A8" s="8"/>
      <c r="B8" s="30"/>
      <c r="C8" s="27"/>
      <c r="D8" s="33"/>
      <c r="E8" s="16"/>
      <c r="F8" s="14"/>
      <c r="G8" s="14"/>
      <c r="H8" s="14"/>
      <c r="I8" s="16"/>
      <c r="J8" s="16"/>
      <c r="K8" s="14">
        <f t="shared" si="1"/>
        <v>0</v>
      </c>
      <c r="L8" s="14">
        <f t="shared" ref="L8:L9" si="2">K8</f>
        <v>0</v>
      </c>
      <c r="M8" s="16"/>
    </row>
    <row r="9" spans="1:13" ht="20" customHeight="1" x14ac:dyDescent="0.35">
      <c r="A9" s="8"/>
      <c r="B9" s="5"/>
      <c r="C9" s="14"/>
      <c r="D9" s="16"/>
      <c r="E9" s="16"/>
      <c r="F9" s="14"/>
      <c r="G9" s="16"/>
      <c r="H9" s="16"/>
      <c r="I9" s="16"/>
      <c r="J9" s="16"/>
      <c r="K9" s="14">
        <f t="shared" si="1"/>
        <v>0</v>
      </c>
      <c r="L9" s="14">
        <f t="shared" si="2"/>
        <v>0</v>
      </c>
      <c r="M9" s="16"/>
    </row>
    <row r="10" spans="1:13" ht="20" customHeight="1" x14ac:dyDescent="0.35">
      <c r="A10" s="8"/>
      <c r="B10" s="5"/>
      <c r="C10" s="14"/>
      <c r="D10" s="16"/>
      <c r="E10" s="2"/>
      <c r="F10" s="16"/>
      <c r="G10" s="16"/>
      <c r="H10" s="16"/>
      <c r="I10" s="16"/>
      <c r="J10" s="16"/>
      <c r="K10" s="16"/>
      <c r="L10" s="16"/>
      <c r="M10" s="16"/>
    </row>
    <row r="11" spans="1:13" ht="20" customHeight="1" x14ac:dyDescent="0.35">
      <c r="A11" s="8"/>
      <c r="B11" s="5"/>
      <c r="C11" s="14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20" customHeight="1" x14ac:dyDescent="0.35">
      <c r="A12" s="8"/>
      <c r="B12" s="5"/>
      <c r="C12" s="14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20" customHeight="1" x14ac:dyDescent="0.35">
      <c r="A13" s="8"/>
      <c r="B13" s="5"/>
      <c r="C13" s="14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20" customHeight="1" x14ac:dyDescent="0.35">
      <c r="A14" s="5"/>
      <c r="B14" s="5"/>
      <c r="C14" s="14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ht="20" customHeight="1" x14ac:dyDescent="0.35">
      <c r="A15" s="5"/>
      <c r="B15" s="5"/>
      <c r="C15" s="14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20" customHeight="1" x14ac:dyDescent="0.35">
      <c r="A16" s="5"/>
      <c r="B16" s="5"/>
      <c r="C16" s="14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x14ac:dyDescent="0.35">
      <c r="A17" s="5"/>
      <c r="B17" s="5"/>
      <c r="C17" s="14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x14ac:dyDescent="0.35">
      <c r="A18" s="5"/>
      <c r="B18" s="5"/>
      <c r="C18" s="14"/>
      <c r="D18" s="16"/>
      <c r="E18" s="16"/>
      <c r="F18" s="16"/>
      <c r="G18" s="16"/>
      <c r="H18" s="16"/>
      <c r="I18" s="16"/>
      <c r="J18" s="16"/>
      <c r="K18" s="16"/>
      <c r="L18" s="16"/>
      <c r="M18" s="16"/>
    </row>
  </sheetData>
  <mergeCells count="8">
    <mergeCell ref="I2:I3"/>
    <mergeCell ref="J2:J3"/>
    <mergeCell ref="K2:L2"/>
    <mergeCell ref="A2:A3"/>
    <mergeCell ref="B2:B3"/>
    <mergeCell ref="C2:C3"/>
    <mergeCell ref="D2:D3"/>
    <mergeCell ref="E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A30B-C868-4AB1-A316-3FDDC1D8548C}">
  <dimension ref="A2:M18"/>
  <sheetViews>
    <sheetView workbookViewId="0">
      <selection activeCell="B5" sqref="B5:B8"/>
    </sheetView>
  </sheetViews>
  <sheetFormatPr defaultRowHeight="14" x14ac:dyDescent="0.35"/>
  <cols>
    <col min="1" max="1" width="11.26953125" style="2" customWidth="1"/>
    <col min="2" max="2" width="19.54296875" style="2" customWidth="1"/>
    <col min="3" max="3" width="13.81640625" style="15" bestFit="1" customWidth="1"/>
    <col min="4" max="4" width="14.26953125" style="15" customWidth="1"/>
    <col min="5" max="5" width="16.1796875" style="15" customWidth="1"/>
    <col min="6" max="6" width="14.81640625" style="15" customWidth="1"/>
    <col min="7" max="7" width="14.26953125" style="15" customWidth="1"/>
    <col min="8" max="8" width="14.1796875" style="15" customWidth="1"/>
    <col min="9" max="9" width="12.36328125" style="15" customWidth="1"/>
    <col min="10" max="10" width="13.6328125" style="15" customWidth="1"/>
    <col min="11" max="11" width="17.81640625" style="15" bestFit="1" customWidth="1"/>
    <col min="12" max="12" width="13.81640625" style="15" bestFit="1" customWidth="1"/>
    <col min="13" max="13" width="12.453125" style="15" customWidth="1"/>
    <col min="14" max="16384" width="8.7265625" style="2"/>
  </cols>
  <sheetData>
    <row r="2" spans="1:13" s="4" customFormat="1" ht="20" customHeight="1" x14ac:dyDescent="0.35">
      <c r="A2" s="6" t="s">
        <v>0</v>
      </c>
      <c r="B2" s="6" t="s">
        <v>1</v>
      </c>
      <c r="C2" s="9" t="s">
        <v>2</v>
      </c>
      <c r="D2" s="9" t="s">
        <v>3</v>
      </c>
      <c r="E2" s="9" t="s">
        <v>4</v>
      </c>
      <c r="F2" s="10" t="s">
        <v>7</v>
      </c>
      <c r="G2" s="10"/>
      <c r="H2" s="10"/>
      <c r="I2" s="10"/>
      <c r="J2" s="11" t="s">
        <v>15</v>
      </c>
      <c r="K2" s="11" t="s">
        <v>10</v>
      </c>
      <c r="L2" s="10" t="s">
        <v>11</v>
      </c>
      <c r="M2" s="10"/>
    </row>
    <row r="3" spans="1:13" s="4" customFormat="1" ht="20" customHeight="1" x14ac:dyDescent="0.35">
      <c r="A3" s="7"/>
      <c r="B3" s="7"/>
      <c r="C3" s="12"/>
      <c r="D3" s="12"/>
      <c r="E3" s="12"/>
      <c r="F3" s="13" t="s">
        <v>5</v>
      </c>
      <c r="G3" s="13" t="s">
        <v>6</v>
      </c>
      <c r="H3" s="13" t="s">
        <v>8</v>
      </c>
      <c r="I3" s="13" t="s">
        <v>9</v>
      </c>
      <c r="J3" s="11"/>
      <c r="K3" s="11"/>
      <c r="L3" s="13" t="s">
        <v>8</v>
      </c>
      <c r="M3" s="13" t="s">
        <v>12</v>
      </c>
    </row>
    <row r="4" spans="1:13" s="4" customFormat="1" ht="20" customHeight="1" x14ac:dyDescent="0.35">
      <c r="A4" s="17"/>
      <c r="B4" s="17" t="s">
        <v>14</v>
      </c>
      <c r="C4" s="18">
        <f>SUM(C5:C7)</f>
        <v>1000000000</v>
      </c>
      <c r="D4" s="18">
        <f t="shared" ref="D4:M4" si="0">SUM(D5:D7)</f>
        <v>1100000000</v>
      </c>
      <c r="E4" s="18">
        <f>SUM(E5:E16)</f>
        <v>500000000</v>
      </c>
      <c r="F4" s="18">
        <f t="shared" ref="F4:M4" si="1">SUM(F5:F16)</f>
        <v>1100000000</v>
      </c>
      <c r="G4" s="18">
        <f t="shared" si="1"/>
        <v>500000000</v>
      </c>
      <c r="H4" s="18">
        <f t="shared" si="1"/>
        <v>1100000000</v>
      </c>
      <c r="I4" s="18">
        <f t="shared" si="1"/>
        <v>0</v>
      </c>
      <c r="J4" s="18">
        <f>E4-G4</f>
        <v>0</v>
      </c>
      <c r="K4" s="18">
        <f t="shared" si="1"/>
        <v>1100000000</v>
      </c>
      <c r="L4" s="18">
        <f t="shared" si="1"/>
        <v>1100000000</v>
      </c>
      <c r="M4" s="18">
        <f t="shared" si="1"/>
        <v>0</v>
      </c>
    </row>
    <row r="5" spans="1:13" s="3" customFormat="1" ht="27.5" customHeight="1" x14ac:dyDescent="0.35">
      <c r="A5" s="8">
        <v>46023</v>
      </c>
      <c r="B5" s="19" t="s">
        <v>13</v>
      </c>
      <c r="C5" s="22">
        <v>1000000000</v>
      </c>
      <c r="D5" s="22">
        <v>1100000000</v>
      </c>
      <c r="E5" s="14"/>
      <c r="F5" s="14"/>
      <c r="G5" s="14"/>
      <c r="H5" s="14"/>
      <c r="I5" s="14"/>
      <c r="J5" s="14"/>
      <c r="K5" s="14"/>
      <c r="L5" s="14"/>
      <c r="M5" s="14"/>
    </row>
    <row r="6" spans="1:13" s="3" customFormat="1" ht="20" customHeight="1" x14ac:dyDescent="0.35">
      <c r="A6" s="8">
        <v>46027</v>
      </c>
      <c r="B6" s="20"/>
      <c r="C6" s="23"/>
      <c r="D6" s="23"/>
      <c r="E6" s="14">
        <v>500000000</v>
      </c>
      <c r="F6" s="14"/>
      <c r="G6" s="14"/>
      <c r="H6" s="14">
        <f>E6</f>
        <v>500000000</v>
      </c>
      <c r="I6" s="14"/>
      <c r="J6" s="14"/>
      <c r="K6" s="14">
        <f>H6</f>
        <v>500000000</v>
      </c>
      <c r="L6" s="14">
        <f>K6</f>
        <v>500000000</v>
      </c>
      <c r="M6" s="14"/>
    </row>
    <row r="7" spans="1:13" s="3" customFormat="1" ht="20" customHeight="1" x14ac:dyDescent="0.35">
      <c r="A7" s="8">
        <v>46052</v>
      </c>
      <c r="B7" s="20"/>
      <c r="C7" s="23"/>
      <c r="D7" s="23"/>
      <c r="E7" s="14"/>
      <c r="F7" s="14">
        <v>300000000</v>
      </c>
      <c r="G7" s="14">
        <v>150000000</v>
      </c>
      <c r="H7" s="14">
        <f>F7-G7</f>
        <v>150000000</v>
      </c>
      <c r="I7" s="14"/>
      <c r="J7" s="14"/>
      <c r="K7" s="14">
        <f t="shared" ref="K7:K9" si="2">H7</f>
        <v>150000000</v>
      </c>
      <c r="L7" s="14">
        <f>K7</f>
        <v>150000000</v>
      </c>
      <c r="M7" s="14"/>
    </row>
    <row r="8" spans="1:13" ht="20" customHeight="1" x14ac:dyDescent="0.35">
      <c r="A8" s="8">
        <v>46081</v>
      </c>
      <c r="B8" s="21"/>
      <c r="C8" s="24"/>
      <c r="D8" s="24"/>
      <c r="E8" s="16"/>
      <c r="F8" s="14">
        <v>300000000</v>
      </c>
      <c r="G8" s="14">
        <v>150000000</v>
      </c>
      <c r="H8" s="14">
        <f>F8-G8</f>
        <v>150000000</v>
      </c>
      <c r="I8" s="16"/>
      <c r="J8" s="16"/>
      <c r="K8" s="14">
        <f t="shared" si="2"/>
        <v>150000000</v>
      </c>
      <c r="L8" s="14">
        <f t="shared" ref="L8:L9" si="3">K8</f>
        <v>150000000</v>
      </c>
      <c r="M8" s="16"/>
    </row>
    <row r="9" spans="1:13" ht="20" customHeight="1" x14ac:dyDescent="0.35">
      <c r="A9" s="8">
        <v>46112</v>
      </c>
      <c r="B9" s="5"/>
      <c r="C9" s="16"/>
      <c r="D9" s="16"/>
      <c r="E9" s="16"/>
      <c r="F9" s="14">
        <v>300000000</v>
      </c>
      <c r="G9" s="16">
        <v>200000000</v>
      </c>
      <c r="H9" s="16">
        <f>F9-G9</f>
        <v>100000000</v>
      </c>
      <c r="I9" s="16"/>
      <c r="J9" s="16"/>
      <c r="K9" s="14">
        <f t="shared" si="2"/>
        <v>100000000</v>
      </c>
      <c r="L9" s="14">
        <f t="shared" si="3"/>
        <v>100000000</v>
      </c>
      <c r="M9" s="16"/>
    </row>
    <row r="10" spans="1:13" ht="20" customHeight="1" x14ac:dyDescent="0.35">
      <c r="A10" s="8">
        <v>46142</v>
      </c>
      <c r="B10" s="5"/>
      <c r="C10" s="16"/>
      <c r="D10" s="16"/>
      <c r="E10" s="2"/>
      <c r="F10" s="16">
        <v>200000000</v>
      </c>
      <c r="G10" s="16"/>
      <c r="H10" s="16">
        <f>F10</f>
        <v>200000000</v>
      </c>
      <c r="I10" s="16"/>
      <c r="J10" s="16"/>
      <c r="K10" s="16">
        <v>200000000</v>
      </c>
      <c r="L10" s="16">
        <v>200000000</v>
      </c>
      <c r="M10" s="16"/>
    </row>
    <row r="11" spans="1:13" ht="20" customHeight="1" x14ac:dyDescent="0.35">
      <c r="A11" s="8"/>
      <c r="B11" s="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20" customHeight="1" x14ac:dyDescent="0.35">
      <c r="A12" s="8"/>
      <c r="B12" s="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20" customHeight="1" x14ac:dyDescent="0.35">
      <c r="A13" s="8"/>
      <c r="B13" s="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20" customHeight="1" x14ac:dyDescent="0.35">
      <c r="A14" s="5"/>
      <c r="B14" s="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ht="20" customHeight="1" x14ac:dyDescent="0.35">
      <c r="A15" s="5"/>
      <c r="B15" s="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20" customHeight="1" x14ac:dyDescent="0.35">
      <c r="A16" s="5"/>
      <c r="B16" s="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x14ac:dyDescent="0.35">
      <c r="A17" s="5"/>
      <c r="B17" s="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x14ac:dyDescent="0.35">
      <c r="A18" s="5"/>
      <c r="B18" s="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</sheetData>
  <mergeCells count="12">
    <mergeCell ref="B5:B8"/>
    <mergeCell ref="C5:C8"/>
    <mergeCell ref="D5:D8"/>
    <mergeCell ref="K2:K3"/>
    <mergeCell ref="L2:M2"/>
    <mergeCell ref="F2:I2"/>
    <mergeCell ref="B2:B3"/>
    <mergeCell ref="A2:A3"/>
    <mergeCell ref="C2:C3"/>
    <mergeCell ref="D2:D3"/>
    <mergeCell ref="E2:E3"/>
    <mergeCell ref="J2:J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645A-D59A-4499-B654-44AC71CA9985}">
  <dimension ref="A2:M18"/>
  <sheetViews>
    <sheetView workbookViewId="0">
      <selection activeCell="E10" sqref="E10"/>
    </sheetView>
  </sheetViews>
  <sheetFormatPr defaultRowHeight="14" x14ac:dyDescent="0.35"/>
  <cols>
    <col min="1" max="1" width="11.26953125" style="2" customWidth="1"/>
    <col min="2" max="2" width="19.54296875" style="2" customWidth="1"/>
    <col min="3" max="3" width="13.81640625" style="15" bestFit="1" customWidth="1"/>
    <col min="4" max="4" width="14.26953125" style="15" customWidth="1"/>
    <col min="5" max="5" width="16.1796875" style="15" customWidth="1"/>
    <col min="6" max="6" width="14.81640625" style="15" customWidth="1"/>
    <col min="7" max="7" width="14.26953125" style="15" customWidth="1"/>
    <col min="8" max="8" width="14.1796875" style="15" customWidth="1"/>
    <col min="9" max="9" width="12.36328125" style="15" customWidth="1"/>
    <col min="10" max="10" width="13.6328125" style="15" customWidth="1"/>
    <col min="11" max="11" width="17.81640625" style="15" bestFit="1" customWidth="1"/>
    <col min="12" max="12" width="12.1796875" style="15" bestFit="1" customWidth="1"/>
    <col min="13" max="13" width="12.453125" style="15" customWidth="1"/>
    <col min="14" max="16384" width="8.7265625" style="2"/>
  </cols>
  <sheetData>
    <row r="2" spans="1:13" s="4" customFormat="1" ht="20" customHeight="1" x14ac:dyDescent="0.35">
      <c r="A2" s="6" t="s">
        <v>0</v>
      </c>
      <c r="B2" s="6" t="s">
        <v>1</v>
      </c>
      <c r="C2" s="9" t="s">
        <v>2</v>
      </c>
      <c r="D2" s="9" t="s">
        <v>3</v>
      </c>
      <c r="E2" s="9" t="s">
        <v>4</v>
      </c>
      <c r="F2" s="10" t="s">
        <v>7</v>
      </c>
      <c r="G2" s="10"/>
      <c r="H2" s="10"/>
      <c r="I2" s="10"/>
      <c r="J2" s="11" t="s">
        <v>15</v>
      </c>
      <c r="K2" s="11" t="s">
        <v>10</v>
      </c>
      <c r="L2" s="10" t="s">
        <v>11</v>
      </c>
      <c r="M2" s="10"/>
    </row>
    <row r="3" spans="1:13" s="4" customFormat="1" ht="20" customHeight="1" x14ac:dyDescent="0.35">
      <c r="A3" s="7"/>
      <c r="B3" s="7"/>
      <c r="C3" s="12"/>
      <c r="D3" s="12"/>
      <c r="E3" s="12"/>
      <c r="F3" s="13" t="s">
        <v>5</v>
      </c>
      <c r="G3" s="13" t="s">
        <v>6</v>
      </c>
      <c r="H3" s="13" t="s">
        <v>8</v>
      </c>
      <c r="I3" s="13" t="s">
        <v>9</v>
      </c>
      <c r="J3" s="11"/>
      <c r="K3" s="11"/>
      <c r="L3" s="13" t="s">
        <v>8</v>
      </c>
      <c r="M3" s="13" t="s">
        <v>12</v>
      </c>
    </row>
    <row r="4" spans="1:13" s="4" customFormat="1" ht="20" customHeight="1" x14ac:dyDescent="0.35">
      <c r="A4" s="17"/>
      <c r="B4" s="17" t="s">
        <v>14</v>
      </c>
      <c r="C4" s="18">
        <f>SUM(C5:C7)</f>
        <v>1000000000</v>
      </c>
      <c r="D4" s="18">
        <f t="shared" ref="D4" si="0">SUM(D5:D7)</f>
        <v>1100000000</v>
      </c>
      <c r="E4" s="18">
        <f>SUM(E5:E16)</f>
        <v>500000000</v>
      </c>
      <c r="F4" s="18">
        <f t="shared" ref="F4:M4" si="1">SUM(F5:F16)</f>
        <v>1100000000</v>
      </c>
      <c r="G4" s="18">
        <f t="shared" si="1"/>
        <v>500000000</v>
      </c>
      <c r="H4" s="18">
        <f t="shared" si="1"/>
        <v>1100000000</v>
      </c>
      <c r="I4" s="18">
        <f t="shared" si="1"/>
        <v>0</v>
      </c>
      <c r="J4" s="18">
        <f>E4-G4</f>
        <v>0</v>
      </c>
      <c r="K4" s="18">
        <f t="shared" si="1"/>
        <v>1100000000</v>
      </c>
      <c r="L4" s="18">
        <f t="shared" si="1"/>
        <v>900000000</v>
      </c>
      <c r="M4" s="18">
        <f t="shared" si="1"/>
        <v>0</v>
      </c>
    </row>
    <row r="5" spans="1:13" s="3" customFormat="1" ht="27.5" customHeight="1" x14ac:dyDescent="0.35">
      <c r="A5" s="8">
        <v>46023</v>
      </c>
      <c r="B5" s="19" t="s">
        <v>13</v>
      </c>
      <c r="C5" s="22">
        <v>1000000000</v>
      </c>
      <c r="D5" s="22">
        <v>1100000000</v>
      </c>
      <c r="E5" s="14"/>
      <c r="F5" s="14"/>
      <c r="G5" s="14"/>
      <c r="H5" s="14"/>
      <c r="I5" s="14"/>
      <c r="J5" s="14"/>
      <c r="K5" s="14"/>
      <c r="L5" s="14"/>
      <c r="M5" s="14"/>
    </row>
    <row r="6" spans="1:13" s="3" customFormat="1" ht="20" customHeight="1" x14ac:dyDescent="0.35">
      <c r="A6" s="8">
        <v>46027</v>
      </c>
      <c r="B6" s="20"/>
      <c r="C6" s="23"/>
      <c r="D6" s="23"/>
      <c r="E6" s="14">
        <v>500000000</v>
      </c>
      <c r="F6" s="14"/>
      <c r="G6" s="14"/>
      <c r="H6" s="14">
        <f>E6</f>
        <v>500000000</v>
      </c>
      <c r="I6" s="14"/>
      <c r="J6" s="14"/>
      <c r="K6" s="14">
        <f>H6</f>
        <v>500000000</v>
      </c>
      <c r="L6" s="14">
        <f>K6</f>
        <v>500000000</v>
      </c>
      <c r="M6" s="14"/>
    </row>
    <row r="7" spans="1:13" s="3" customFormat="1" ht="20" customHeight="1" x14ac:dyDescent="0.35">
      <c r="A7" s="8">
        <v>46052</v>
      </c>
      <c r="B7" s="20"/>
      <c r="C7" s="23"/>
      <c r="D7" s="23"/>
      <c r="E7" s="14"/>
      <c r="F7" s="14">
        <v>300000000</v>
      </c>
      <c r="G7" s="14">
        <v>150000000</v>
      </c>
      <c r="H7" s="14">
        <f>F7-G7</f>
        <v>150000000</v>
      </c>
      <c r="I7" s="14"/>
      <c r="J7" s="14"/>
      <c r="K7" s="14">
        <f t="shared" ref="K7:K9" si="2">H7</f>
        <v>150000000</v>
      </c>
      <c r="L7" s="14">
        <f>K7</f>
        <v>150000000</v>
      </c>
      <c r="M7" s="14"/>
    </row>
    <row r="8" spans="1:13" ht="20" customHeight="1" x14ac:dyDescent="0.35">
      <c r="A8" s="8">
        <v>46081</v>
      </c>
      <c r="B8" s="21"/>
      <c r="C8" s="24"/>
      <c r="D8" s="24"/>
      <c r="E8" s="16"/>
      <c r="F8" s="14">
        <v>300000000</v>
      </c>
      <c r="G8" s="14">
        <v>150000000</v>
      </c>
      <c r="H8" s="14">
        <f>F8-G8</f>
        <v>150000000</v>
      </c>
      <c r="I8" s="16"/>
      <c r="J8" s="16"/>
      <c r="K8" s="14">
        <f t="shared" si="2"/>
        <v>150000000</v>
      </c>
      <c r="L8" s="14">
        <f t="shared" ref="L8:L9" si="3">K8</f>
        <v>150000000</v>
      </c>
      <c r="M8" s="16"/>
    </row>
    <row r="9" spans="1:13" ht="20" customHeight="1" x14ac:dyDescent="0.35">
      <c r="A9" s="8">
        <v>46112</v>
      </c>
      <c r="B9" s="5"/>
      <c r="C9" s="16"/>
      <c r="D9" s="16"/>
      <c r="E9" s="16"/>
      <c r="F9" s="14">
        <v>300000000</v>
      </c>
      <c r="G9" s="16">
        <v>200000000</v>
      </c>
      <c r="H9" s="16">
        <f>F9-G9</f>
        <v>100000000</v>
      </c>
      <c r="I9" s="16"/>
      <c r="J9" s="16"/>
      <c r="K9" s="14">
        <f t="shared" si="2"/>
        <v>100000000</v>
      </c>
      <c r="L9" s="14">
        <f t="shared" si="3"/>
        <v>100000000</v>
      </c>
      <c r="M9" s="16"/>
    </row>
    <row r="10" spans="1:13" ht="20" customHeight="1" x14ac:dyDescent="0.35">
      <c r="A10" s="8">
        <v>46142</v>
      </c>
      <c r="B10" s="5"/>
      <c r="C10" s="16"/>
      <c r="D10" s="16"/>
      <c r="E10" s="16"/>
      <c r="F10" s="16">
        <v>200000000</v>
      </c>
      <c r="G10" s="16"/>
      <c r="H10" s="16">
        <f>F10</f>
        <v>200000000</v>
      </c>
      <c r="I10" s="16"/>
      <c r="J10" s="16"/>
      <c r="K10" s="16">
        <v>200000000</v>
      </c>
      <c r="L10" s="16"/>
      <c r="M10" s="16"/>
    </row>
    <row r="11" spans="1:13" ht="20" customHeight="1" x14ac:dyDescent="0.35">
      <c r="A11" s="8"/>
      <c r="B11" s="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20" customHeight="1" x14ac:dyDescent="0.35">
      <c r="A12" s="8"/>
      <c r="B12" s="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20" customHeight="1" x14ac:dyDescent="0.35">
      <c r="A13" s="8"/>
      <c r="B13" s="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20" customHeight="1" x14ac:dyDescent="0.35">
      <c r="A14" s="5"/>
      <c r="B14" s="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ht="20" customHeight="1" x14ac:dyDescent="0.35">
      <c r="A15" s="5"/>
      <c r="B15" s="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20" customHeight="1" x14ac:dyDescent="0.35">
      <c r="A16" s="5"/>
      <c r="B16" s="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x14ac:dyDescent="0.35">
      <c r="A17" s="5"/>
      <c r="B17" s="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x14ac:dyDescent="0.35">
      <c r="A18" s="5"/>
      <c r="B18" s="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</sheetData>
  <mergeCells count="12">
    <mergeCell ref="J2:J3"/>
    <mergeCell ref="K2:K3"/>
    <mergeCell ref="L2:M2"/>
    <mergeCell ref="B5:B8"/>
    <mergeCell ref="C5:C8"/>
    <mergeCell ref="D5:D8"/>
    <mergeCell ref="A2:A3"/>
    <mergeCell ref="B2:B3"/>
    <mergeCell ref="C2:C3"/>
    <mergeCell ref="D2:D3"/>
    <mergeCell ref="E2:E3"/>
    <mergeCell ref="F2:I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EEED-F0EF-4E06-ABEA-DAD5E683C8C9}">
  <dimension ref="A2:M18"/>
  <sheetViews>
    <sheetView topLeftCell="C1" workbookViewId="0">
      <selection activeCell="E16" sqref="E16"/>
    </sheetView>
  </sheetViews>
  <sheetFormatPr defaultRowHeight="14" x14ac:dyDescent="0.35"/>
  <cols>
    <col min="1" max="1" width="11.26953125" style="2" customWidth="1"/>
    <col min="2" max="2" width="19.54296875" style="2" customWidth="1"/>
    <col min="3" max="3" width="13.81640625" style="15" bestFit="1" customWidth="1"/>
    <col min="4" max="4" width="14.26953125" style="15" customWidth="1"/>
    <col min="5" max="5" width="16.1796875" style="15" customWidth="1"/>
    <col min="6" max="6" width="14.81640625" style="15" customWidth="1"/>
    <col min="7" max="7" width="14.26953125" style="15" customWidth="1"/>
    <col min="8" max="8" width="14.1796875" style="15" customWidth="1"/>
    <col min="9" max="9" width="12.36328125" style="15" customWidth="1"/>
    <col min="10" max="10" width="13.6328125" style="15" customWidth="1"/>
    <col min="11" max="11" width="17.81640625" style="15" bestFit="1" customWidth="1"/>
    <col min="12" max="12" width="12.1796875" style="15" bestFit="1" customWidth="1"/>
    <col min="13" max="13" width="12.453125" style="15" customWidth="1"/>
    <col min="14" max="16384" width="8.7265625" style="2"/>
  </cols>
  <sheetData>
    <row r="2" spans="1:13" s="4" customFormat="1" ht="20" customHeight="1" x14ac:dyDescent="0.35">
      <c r="A2" s="6" t="s">
        <v>0</v>
      </c>
      <c r="B2" s="6" t="s">
        <v>1</v>
      </c>
      <c r="C2" s="9" t="s">
        <v>2</v>
      </c>
      <c r="D2" s="9" t="s">
        <v>3</v>
      </c>
      <c r="E2" s="9" t="s">
        <v>4</v>
      </c>
      <c r="F2" s="10" t="s">
        <v>7</v>
      </c>
      <c r="G2" s="10"/>
      <c r="H2" s="10"/>
      <c r="I2" s="10"/>
      <c r="J2" s="11" t="s">
        <v>15</v>
      </c>
      <c r="K2" s="11" t="s">
        <v>10</v>
      </c>
      <c r="L2" s="10" t="s">
        <v>11</v>
      </c>
      <c r="M2" s="10"/>
    </row>
    <row r="3" spans="1:13" s="4" customFormat="1" ht="20" customHeight="1" x14ac:dyDescent="0.35">
      <c r="A3" s="7"/>
      <c r="B3" s="7"/>
      <c r="C3" s="12"/>
      <c r="D3" s="12"/>
      <c r="E3" s="12"/>
      <c r="F3" s="13" t="s">
        <v>5</v>
      </c>
      <c r="G3" s="13" t="s">
        <v>6</v>
      </c>
      <c r="H3" s="13" t="s">
        <v>8</v>
      </c>
      <c r="I3" s="13" t="s">
        <v>9</v>
      </c>
      <c r="J3" s="11"/>
      <c r="K3" s="11"/>
      <c r="L3" s="13" t="s">
        <v>8</v>
      </c>
      <c r="M3" s="13" t="s">
        <v>12</v>
      </c>
    </row>
    <row r="4" spans="1:13" s="4" customFormat="1" ht="20" customHeight="1" x14ac:dyDescent="0.35">
      <c r="A4" s="17"/>
      <c r="B4" s="17" t="s">
        <v>14</v>
      </c>
      <c r="C4" s="18">
        <f>SUM(C5:C7)</f>
        <v>1000000000</v>
      </c>
      <c r="D4" s="18">
        <f t="shared" ref="D4" si="0">SUM(D5:D7)</f>
        <v>1100000000</v>
      </c>
      <c r="E4" s="18">
        <f>SUM(E5:E16)</f>
        <v>500000000</v>
      </c>
      <c r="F4" s="18">
        <f t="shared" ref="F4:M4" si="1">SUM(F5:F16)</f>
        <v>1100000000</v>
      </c>
      <c r="G4" s="18">
        <f t="shared" si="1"/>
        <v>500000000</v>
      </c>
      <c r="H4" s="18">
        <f t="shared" si="1"/>
        <v>1100000000</v>
      </c>
      <c r="I4" s="18">
        <f t="shared" si="1"/>
        <v>0</v>
      </c>
      <c r="J4" s="18">
        <f>E4-G4</f>
        <v>0</v>
      </c>
      <c r="K4" s="18">
        <f t="shared" si="1"/>
        <v>1100000000</v>
      </c>
      <c r="L4" s="18">
        <f t="shared" si="1"/>
        <v>900000000</v>
      </c>
      <c r="M4" s="18">
        <f t="shared" si="1"/>
        <v>0</v>
      </c>
    </row>
    <row r="5" spans="1:13" s="3" customFormat="1" ht="27.5" customHeight="1" x14ac:dyDescent="0.35">
      <c r="A5" s="8">
        <v>46023</v>
      </c>
      <c r="B5" s="19" t="s">
        <v>13</v>
      </c>
      <c r="C5" s="22">
        <v>1000000000</v>
      </c>
      <c r="D5" s="22">
        <v>1100000000</v>
      </c>
      <c r="E5" s="14"/>
      <c r="F5" s="14"/>
      <c r="G5" s="14"/>
      <c r="H5" s="14"/>
      <c r="I5" s="14"/>
      <c r="J5" s="14"/>
      <c r="K5" s="14"/>
      <c r="L5" s="14"/>
      <c r="M5" s="14"/>
    </row>
    <row r="6" spans="1:13" s="3" customFormat="1" ht="20" customHeight="1" x14ac:dyDescent="0.35">
      <c r="A6" s="8">
        <v>46027</v>
      </c>
      <c r="B6" s="20"/>
      <c r="C6" s="23"/>
      <c r="D6" s="23"/>
      <c r="E6" s="14">
        <v>500000000</v>
      </c>
      <c r="F6" s="14"/>
      <c r="G6" s="14"/>
      <c r="H6" s="14">
        <f>E6</f>
        <v>500000000</v>
      </c>
      <c r="I6" s="14"/>
      <c r="J6" s="14"/>
      <c r="K6" s="14">
        <f>H6</f>
        <v>500000000</v>
      </c>
      <c r="L6" s="14">
        <f>K6</f>
        <v>500000000</v>
      </c>
      <c r="M6" s="14"/>
    </row>
    <row r="7" spans="1:13" s="3" customFormat="1" ht="20" customHeight="1" x14ac:dyDescent="0.35">
      <c r="A7" s="8">
        <v>46052</v>
      </c>
      <c r="B7" s="20"/>
      <c r="C7" s="23"/>
      <c r="D7" s="23"/>
      <c r="E7" s="14"/>
      <c r="F7" s="14">
        <v>300000000</v>
      </c>
      <c r="G7" s="14">
        <v>150000000</v>
      </c>
      <c r="H7" s="14">
        <f>F7-G7</f>
        <v>150000000</v>
      </c>
      <c r="I7" s="14"/>
      <c r="J7" s="14"/>
      <c r="K7" s="14">
        <f t="shared" ref="K7:K9" si="2">H7</f>
        <v>150000000</v>
      </c>
      <c r="L7" s="14">
        <f>K7</f>
        <v>150000000</v>
      </c>
      <c r="M7" s="14"/>
    </row>
    <row r="8" spans="1:13" ht="20" customHeight="1" x14ac:dyDescent="0.35">
      <c r="A8" s="8">
        <v>46081</v>
      </c>
      <c r="B8" s="21"/>
      <c r="C8" s="24"/>
      <c r="D8" s="24"/>
      <c r="E8" s="16"/>
      <c r="F8" s="14">
        <v>300000000</v>
      </c>
      <c r="G8" s="14">
        <v>150000000</v>
      </c>
      <c r="H8" s="14">
        <f>F8-G8</f>
        <v>150000000</v>
      </c>
      <c r="I8" s="16"/>
      <c r="J8" s="16"/>
      <c r="K8" s="14">
        <f t="shared" si="2"/>
        <v>150000000</v>
      </c>
      <c r="L8" s="14">
        <f t="shared" ref="L8:L9" si="3">K8</f>
        <v>150000000</v>
      </c>
      <c r="M8" s="16"/>
    </row>
    <row r="9" spans="1:13" ht="20" customHeight="1" x14ac:dyDescent="0.35">
      <c r="A9" s="8">
        <v>46112</v>
      </c>
      <c r="B9" s="5"/>
      <c r="C9" s="16"/>
      <c r="D9" s="16"/>
      <c r="E9" s="16"/>
      <c r="F9" s="14">
        <v>300000000</v>
      </c>
      <c r="G9" s="16">
        <v>200000000</v>
      </c>
      <c r="H9" s="16">
        <f>F9-G9</f>
        <v>100000000</v>
      </c>
      <c r="I9" s="16"/>
      <c r="J9" s="16"/>
      <c r="K9" s="14">
        <f t="shared" si="2"/>
        <v>100000000</v>
      </c>
      <c r="L9" s="14">
        <f t="shared" si="3"/>
        <v>100000000</v>
      </c>
      <c r="M9" s="16"/>
    </row>
    <row r="10" spans="1:13" ht="20" customHeight="1" x14ac:dyDescent="0.35">
      <c r="A10" s="8">
        <v>46142</v>
      </c>
      <c r="B10" s="5"/>
      <c r="C10" s="16"/>
      <c r="D10" s="16"/>
      <c r="E10" s="16"/>
      <c r="F10" s="16">
        <v>200000000</v>
      </c>
      <c r="G10" s="16"/>
      <c r="H10" s="16">
        <f>F10</f>
        <v>200000000</v>
      </c>
      <c r="I10" s="16"/>
      <c r="J10" s="16"/>
      <c r="K10" s="16">
        <v>200000000</v>
      </c>
      <c r="L10" s="16"/>
      <c r="M10" s="16"/>
    </row>
    <row r="11" spans="1:13" ht="20" customHeight="1" x14ac:dyDescent="0.35">
      <c r="A11" s="8"/>
      <c r="B11" s="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20" customHeight="1" x14ac:dyDescent="0.35">
      <c r="A12" s="8"/>
      <c r="B12" s="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20" customHeight="1" x14ac:dyDescent="0.35">
      <c r="A13" s="8"/>
      <c r="B13" s="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20" customHeight="1" x14ac:dyDescent="0.35">
      <c r="A14" s="5"/>
      <c r="B14" s="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ht="20" customHeight="1" x14ac:dyDescent="0.35">
      <c r="A15" s="5"/>
      <c r="B15" s="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20" customHeight="1" x14ac:dyDescent="0.35">
      <c r="A16" s="5"/>
      <c r="B16" s="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x14ac:dyDescent="0.35">
      <c r="A17" s="5"/>
      <c r="B17" s="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x14ac:dyDescent="0.35">
      <c r="A18" s="5"/>
      <c r="B18" s="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</sheetData>
  <mergeCells count="12">
    <mergeCell ref="J2:J3"/>
    <mergeCell ref="K2:K3"/>
    <mergeCell ref="L2:M2"/>
    <mergeCell ref="B5:B8"/>
    <mergeCell ref="C5:C8"/>
    <mergeCell ref="D5:D8"/>
    <mergeCell ref="A2:A3"/>
    <mergeCell ref="B2:B3"/>
    <mergeCell ref="C2:C3"/>
    <mergeCell ref="D2:D3"/>
    <mergeCell ref="E2:E3"/>
    <mergeCell ref="F2:I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B9A1-8042-4347-A29C-7C1C06317369}">
  <dimension ref="A2:M18"/>
  <sheetViews>
    <sheetView topLeftCell="C1" workbookViewId="0">
      <selection activeCell="E18" sqref="E18"/>
    </sheetView>
  </sheetViews>
  <sheetFormatPr defaultRowHeight="14" x14ac:dyDescent="0.35"/>
  <cols>
    <col min="1" max="1" width="11.26953125" style="2" customWidth="1"/>
    <col min="2" max="2" width="19.54296875" style="2" customWidth="1"/>
    <col min="3" max="3" width="13.81640625" style="15" bestFit="1" customWidth="1"/>
    <col min="4" max="4" width="14.26953125" style="15" customWidth="1"/>
    <col min="5" max="5" width="16.1796875" style="15" customWidth="1"/>
    <col min="6" max="6" width="14.81640625" style="15" customWidth="1"/>
    <col min="7" max="7" width="14.26953125" style="15" customWidth="1"/>
    <col min="8" max="8" width="14.1796875" style="15" customWidth="1"/>
    <col min="9" max="9" width="12.36328125" style="15" customWidth="1"/>
    <col min="10" max="10" width="13.6328125" style="15" customWidth="1"/>
    <col min="11" max="11" width="17.81640625" style="15" bestFit="1" customWidth="1"/>
    <col min="12" max="12" width="12.1796875" style="15" bestFit="1" customWidth="1"/>
    <col min="13" max="13" width="12.453125" style="15" customWidth="1"/>
    <col min="14" max="16384" width="8.7265625" style="2"/>
  </cols>
  <sheetData>
    <row r="2" spans="1:13" s="4" customFormat="1" ht="20" customHeight="1" x14ac:dyDescent="0.35">
      <c r="A2" s="6" t="s">
        <v>0</v>
      </c>
      <c r="B2" s="6" t="s">
        <v>1</v>
      </c>
      <c r="C2" s="9" t="s">
        <v>2</v>
      </c>
      <c r="D2" s="9" t="s">
        <v>3</v>
      </c>
      <c r="E2" s="9" t="s">
        <v>4</v>
      </c>
      <c r="F2" s="10" t="s">
        <v>7</v>
      </c>
      <c r="G2" s="10"/>
      <c r="H2" s="10"/>
      <c r="I2" s="10"/>
      <c r="J2" s="11" t="s">
        <v>15</v>
      </c>
      <c r="K2" s="11" t="s">
        <v>10</v>
      </c>
      <c r="L2" s="10" t="s">
        <v>11</v>
      </c>
      <c r="M2" s="10"/>
    </row>
    <row r="3" spans="1:13" s="4" customFormat="1" ht="20" customHeight="1" x14ac:dyDescent="0.35">
      <c r="A3" s="7"/>
      <c r="B3" s="7"/>
      <c r="C3" s="12"/>
      <c r="D3" s="12"/>
      <c r="E3" s="12"/>
      <c r="F3" s="13" t="s">
        <v>5</v>
      </c>
      <c r="G3" s="13" t="s">
        <v>6</v>
      </c>
      <c r="H3" s="13" t="s">
        <v>8</v>
      </c>
      <c r="I3" s="13" t="s">
        <v>9</v>
      </c>
      <c r="J3" s="11"/>
      <c r="K3" s="11"/>
      <c r="L3" s="13" t="s">
        <v>8</v>
      </c>
      <c r="M3" s="13" t="s">
        <v>12</v>
      </c>
    </row>
    <row r="4" spans="1:13" s="4" customFormat="1" ht="20" customHeight="1" x14ac:dyDescent="0.35">
      <c r="A4" s="17"/>
      <c r="B4" s="17" t="s">
        <v>14</v>
      </c>
      <c r="C4" s="18">
        <f>SUM(C5:C7)</f>
        <v>1000000000</v>
      </c>
      <c r="D4" s="18">
        <f t="shared" ref="D4" si="0">SUM(D5:D7)</f>
        <v>1100000000</v>
      </c>
      <c r="E4" s="18">
        <f>SUM(E5:E16)</f>
        <v>500000000</v>
      </c>
      <c r="F4" s="18">
        <f t="shared" ref="F4:M4" si="1">SUM(F5:F16)</f>
        <v>1100000000</v>
      </c>
      <c r="G4" s="18">
        <f t="shared" si="1"/>
        <v>500000000</v>
      </c>
      <c r="H4" s="18">
        <f t="shared" si="1"/>
        <v>1100000000</v>
      </c>
      <c r="I4" s="18">
        <f t="shared" si="1"/>
        <v>0</v>
      </c>
      <c r="J4" s="18">
        <f>E4-G4</f>
        <v>0</v>
      </c>
      <c r="K4" s="18">
        <f t="shared" si="1"/>
        <v>1100000000</v>
      </c>
      <c r="L4" s="18">
        <f t="shared" si="1"/>
        <v>900000000</v>
      </c>
      <c r="M4" s="18">
        <f t="shared" si="1"/>
        <v>0</v>
      </c>
    </row>
    <row r="5" spans="1:13" s="3" customFormat="1" ht="27.5" customHeight="1" x14ac:dyDescent="0.35">
      <c r="A5" s="8">
        <v>46023</v>
      </c>
      <c r="B5" s="19" t="s">
        <v>13</v>
      </c>
      <c r="C5" s="22">
        <v>1000000000</v>
      </c>
      <c r="D5" s="22">
        <v>1100000000</v>
      </c>
      <c r="E5" s="14"/>
      <c r="F5" s="14"/>
      <c r="G5" s="14"/>
      <c r="H5" s="14"/>
      <c r="I5" s="14"/>
      <c r="J5" s="14"/>
      <c r="K5" s="14"/>
      <c r="L5" s="14"/>
      <c r="M5" s="14"/>
    </row>
    <row r="6" spans="1:13" s="3" customFormat="1" ht="20" customHeight="1" x14ac:dyDescent="0.35">
      <c r="A6" s="8">
        <v>46027</v>
      </c>
      <c r="B6" s="20"/>
      <c r="C6" s="23"/>
      <c r="D6" s="23"/>
      <c r="E6" s="14">
        <v>500000000</v>
      </c>
      <c r="F6" s="14"/>
      <c r="G6" s="14"/>
      <c r="H6" s="14">
        <f>E6</f>
        <v>500000000</v>
      </c>
      <c r="I6" s="14"/>
      <c r="J6" s="14"/>
      <c r="K6" s="14">
        <f>H6</f>
        <v>500000000</v>
      </c>
      <c r="L6" s="14">
        <f>K6</f>
        <v>500000000</v>
      </c>
      <c r="M6" s="14"/>
    </row>
    <row r="7" spans="1:13" s="3" customFormat="1" ht="20" customHeight="1" x14ac:dyDescent="0.35">
      <c r="A7" s="8">
        <v>46052</v>
      </c>
      <c r="B7" s="20"/>
      <c r="C7" s="23"/>
      <c r="D7" s="23"/>
      <c r="E7" s="14"/>
      <c r="F7" s="14">
        <v>300000000</v>
      </c>
      <c r="G7" s="14">
        <v>150000000</v>
      </c>
      <c r="H7" s="14">
        <f>F7-G7</f>
        <v>150000000</v>
      </c>
      <c r="I7" s="14"/>
      <c r="J7" s="14"/>
      <c r="K7" s="14">
        <f t="shared" ref="K7:K9" si="2">H7</f>
        <v>150000000</v>
      </c>
      <c r="L7" s="14">
        <f>K7</f>
        <v>150000000</v>
      </c>
      <c r="M7" s="14"/>
    </row>
    <row r="8" spans="1:13" ht="20" customHeight="1" x14ac:dyDescent="0.35">
      <c r="A8" s="8">
        <v>46081</v>
      </c>
      <c r="B8" s="21"/>
      <c r="C8" s="24"/>
      <c r="D8" s="24"/>
      <c r="E8" s="16"/>
      <c r="F8" s="14">
        <v>300000000</v>
      </c>
      <c r="G8" s="14">
        <v>150000000</v>
      </c>
      <c r="H8" s="14">
        <f>F8-G8</f>
        <v>150000000</v>
      </c>
      <c r="I8" s="16"/>
      <c r="J8" s="16"/>
      <c r="K8" s="14">
        <f t="shared" si="2"/>
        <v>150000000</v>
      </c>
      <c r="L8" s="14">
        <f t="shared" ref="L8:L9" si="3">K8</f>
        <v>150000000</v>
      </c>
      <c r="M8" s="16"/>
    </row>
    <row r="9" spans="1:13" ht="20" customHeight="1" x14ac:dyDescent="0.35">
      <c r="A9" s="8">
        <v>46112</v>
      </c>
      <c r="B9" s="5"/>
      <c r="C9" s="16"/>
      <c r="D9" s="16"/>
      <c r="E9" s="16"/>
      <c r="F9" s="14">
        <v>300000000</v>
      </c>
      <c r="G9" s="16">
        <v>200000000</v>
      </c>
      <c r="H9" s="16">
        <f>F9-G9</f>
        <v>100000000</v>
      </c>
      <c r="I9" s="16"/>
      <c r="J9" s="16"/>
      <c r="K9" s="14">
        <f t="shared" si="2"/>
        <v>100000000</v>
      </c>
      <c r="L9" s="14">
        <f t="shared" si="3"/>
        <v>100000000</v>
      </c>
      <c r="M9" s="16"/>
    </row>
    <row r="10" spans="1:13" ht="20" customHeight="1" x14ac:dyDescent="0.35">
      <c r="A10" s="8">
        <v>46142</v>
      </c>
      <c r="B10" s="5"/>
      <c r="C10" s="16"/>
      <c r="D10" s="16"/>
      <c r="E10" s="16"/>
      <c r="F10" s="16">
        <v>200000000</v>
      </c>
      <c r="G10" s="16"/>
      <c r="H10" s="16">
        <f>F10</f>
        <v>200000000</v>
      </c>
      <c r="I10" s="16"/>
      <c r="J10" s="16"/>
      <c r="K10" s="16">
        <v>200000000</v>
      </c>
      <c r="L10" s="16"/>
      <c r="M10" s="16"/>
    </row>
    <row r="11" spans="1:13" ht="20" customHeight="1" x14ac:dyDescent="0.35">
      <c r="A11" s="8"/>
      <c r="B11" s="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20" customHeight="1" x14ac:dyDescent="0.35">
      <c r="A12" s="8"/>
      <c r="B12" s="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20" customHeight="1" x14ac:dyDescent="0.35">
      <c r="A13" s="8"/>
      <c r="B13" s="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20" customHeight="1" x14ac:dyDescent="0.35">
      <c r="A14" s="5"/>
      <c r="B14" s="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ht="20" customHeight="1" x14ac:dyDescent="0.35">
      <c r="A15" s="5"/>
      <c r="B15" s="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20" customHeight="1" x14ac:dyDescent="0.35">
      <c r="A16" s="5"/>
      <c r="B16" s="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x14ac:dyDescent="0.35">
      <c r="A17" s="5"/>
      <c r="B17" s="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x14ac:dyDescent="0.35">
      <c r="A18" s="5"/>
      <c r="B18" s="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</sheetData>
  <mergeCells count="12">
    <mergeCell ref="J2:J3"/>
    <mergeCell ref="K2:K3"/>
    <mergeCell ref="L2:M2"/>
    <mergeCell ref="B5:B8"/>
    <mergeCell ref="C5:C8"/>
    <mergeCell ref="D5:D8"/>
    <mergeCell ref="A2:A3"/>
    <mergeCell ref="B2:B3"/>
    <mergeCell ref="C2:C3"/>
    <mergeCell ref="D2:D3"/>
    <mergeCell ref="E2:E3"/>
    <mergeCell ref="F2:I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4797-976E-455B-AF6B-5AA3DAFE0ADF}">
  <dimension ref="A2:M18"/>
  <sheetViews>
    <sheetView topLeftCell="C1" workbookViewId="0">
      <selection activeCell="F16" sqref="F16"/>
    </sheetView>
  </sheetViews>
  <sheetFormatPr defaultRowHeight="14" x14ac:dyDescent="0.35"/>
  <cols>
    <col min="1" max="1" width="11.26953125" style="2" customWidth="1"/>
    <col min="2" max="2" width="19.54296875" style="2" customWidth="1"/>
    <col min="3" max="3" width="13.81640625" style="15" bestFit="1" customWidth="1"/>
    <col min="4" max="4" width="14.26953125" style="15" customWidth="1"/>
    <col min="5" max="5" width="16.1796875" style="15" customWidth="1"/>
    <col min="6" max="6" width="14.81640625" style="15" customWidth="1"/>
    <col min="7" max="7" width="14.26953125" style="15" customWidth="1"/>
    <col min="8" max="8" width="14.1796875" style="15" customWidth="1"/>
    <col min="9" max="9" width="12.36328125" style="15" customWidth="1"/>
    <col min="10" max="10" width="13.6328125" style="15" customWidth="1"/>
    <col min="11" max="11" width="17.81640625" style="15" bestFit="1" customWidth="1"/>
    <col min="12" max="12" width="12.1796875" style="15" bestFit="1" customWidth="1"/>
    <col min="13" max="13" width="12.453125" style="15" customWidth="1"/>
    <col min="14" max="16384" width="8.7265625" style="2"/>
  </cols>
  <sheetData>
    <row r="2" spans="1:13" s="4" customFormat="1" ht="20" customHeight="1" x14ac:dyDescent="0.35">
      <c r="A2" s="6" t="s">
        <v>0</v>
      </c>
      <c r="B2" s="6" t="s">
        <v>1</v>
      </c>
      <c r="C2" s="9" t="s">
        <v>2</v>
      </c>
      <c r="D2" s="9" t="s">
        <v>3</v>
      </c>
      <c r="E2" s="9" t="s">
        <v>4</v>
      </c>
      <c r="F2" s="10" t="s">
        <v>7</v>
      </c>
      <c r="G2" s="10"/>
      <c r="H2" s="10"/>
      <c r="I2" s="10"/>
      <c r="J2" s="11" t="s">
        <v>15</v>
      </c>
      <c r="K2" s="11" t="s">
        <v>10</v>
      </c>
      <c r="L2" s="10" t="s">
        <v>11</v>
      </c>
      <c r="M2" s="10"/>
    </row>
    <row r="3" spans="1:13" s="4" customFormat="1" ht="20" customHeight="1" x14ac:dyDescent="0.35">
      <c r="A3" s="7"/>
      <c r="B3" s="7"/>
      <c r="C3" s="12"/>
      <c r="D3" s="12"/>
      <c r="E3" s="12"/>
      <c r="F3" s="13" t="s">
        <v>5</v>
      </c>
      <c r="G3" s="13" t="s">
        <v>6</v>
      </c>
      <c r="H3" s="13" t="s">
        <v>8</v>
      </c>
      <c r="I3" s="13" t="s">
        <v>9</v>
      </c>
      <c r="J3" s="11"/>
      <c r="K3" s="11"/>
      <c r="L3" s="13" t="s">
        <v>8</v>
      </c>
      <c r="M3" s="13" t="s">
        <v>12</v>
      </c>
    </row>
    <row r="4" spans="1:13" s="4" customFormat="1" ht="20" customHeight="1" x14ac:dyDescent="0.35">
      <c r="A4" s="17"/>
      <c r="B4" s="17" t="s">
        <v>14</v>
      </c>
      <c r="C4" s="18">
        <f>SUM(C5:C7)</f>
        <v>1000000000</v>
      </c>
      <c r="D4" s="18">
        <f t="shared" ref="D4" si="0">SUM(D5:D7)</f>
        <v>1100000000</v>
      </c>
      <c r="E4" s="18">
        <f>SUM(E5:E16)</f>
        <v>500000000</v>
      </c>
      <c r="F4" s="18">
        <f t="shared" ref="F4:M4" si="1">SUM(F5:F16)</f>
        <v>1100000000</v>
      </c>
      <c r="G4" s="18">
        <f t="shared" si="1"/>
        <v>500000000</v>
      </c>
      <c r="H4" s="18">
        <f t="shared" si="1"/>
        <v>1100000000</v>
      </c>
      <c r="I4" s="18">
        <f t="shared" si="1"/>
        <v>0</v>
      </c>
      <c r="J4" s="18">
        <f>E4-G4</f>
        <v>0</v>
      </c>
      <c r="K4" s="18">
        <f t="shared" si="1"/>
        <v>1100000000</v>
      </c>
      <c r="L4" s="18">
        <f t="shared" si="1"/>
        <v>900000000</v>
      </c>
      <c r="M4" s="18">
        <f t="shared" si="1"/>
        <v>0</v>
      </c>
    </row>
    <row r="5" spans="1:13" s="3" customFormat="1" ht="27.5" customHeight="1" x14ac:dyDescent="0.35">
      <c r="A5" s="8">
        <v>46023</v>
      </c>
      <c r="B5" s="19" t="s">
        <v>13</v>
      </c>
      <c r="C5" s="22">
        <v>1000000000</v>
      </c>
      <c r="D5" s="22">
        <v>1100000000</v>
      </c>
      <c r="E5" s="14"/>
      <c r="F5" s="14"/>
      <c r="G5" s="14"/>
      <c r="H5" s="14"/>
      <c r="I5" s="14"/>
      <c r="J5" s="14"/>
      <c r="K5" s="14"/>
      <c r="L5" s="14"/>
      <c r="M5" s="14"/>
    </row>
    <row r="6" spans="1:13" s="3" customFormat="1" ht="20" customHeight="1" x14ac:dyDescent="0.35">
      <c r="A6" s="8">
        <v>46027</v>
      </c>
      <c r="B6" s="20"/>
      <c r="C6" s="23"/>
      <c r="D6" s="23"/>
      <c r="E6" s="14">
        <v>500000000</v>
      </c>
      <c r="F6" s="14"/>
      <c r="G6" s="14"/>
      <c r="H6" s="14">
        <f>E6</f>
        <v>500000000</v>
      </c>
      <c r="I6" s="14"/>
      <c r="J6" s="14"/>
      <c r="K6" s="14">
        <f>H6</f>
        <v>500000000</v>
      </c>
      <c r="L6" s="14">
        <f>K6</f>
        <v>500000000</v>
      </c>
      <c r="M6" s="14"/>
    </row>
    <row r="7" spans="1:13" s="3" customFormat="1" ht="20" customHeight="1" x14ac:dyDescent="0.35">
      <c r="A7" s="8">
        <v>46052</v>
      </c>
      <c r="B7" s="20"/>
      <c r="C7" s="23"/>
      <c r="D7" s="23"/>
      <c r="E7" s="14"/>
      <c r="F7" s="14">
        <v>300000000</v>
      </c>
      <c r="G7" s="14">
        <v>150000000</v>
      </c>
      <c r="H7" s="14">
        <f>F7-G7</f>
        <v>150000000</v>
      </c>
      <c r="I7" s="14"/>
      <c r="J7" s="14"/>
      <c r="K7" s="14">
        <f t="shared" ref="K7:K9" si="2">H7</f>
        <v>150000000</v>
      </c>
      <c r="L7" s="14">
        <f>K7</f>
        <v>150000000</v>
      </c>
      <c r="M7" s="14"/>
    </row>
    <row r="8" spans="1:13" ht="20" customHeight="1" x14ac:dyDescent="0.35">
      <c r="A8" s="8">
        <v>46081</v>
      </c>
      <c r="B8" s="21"/>
      <c r="C8" s="24"/>
      <c r="D8" s="24"/>
      <c r="E8" s="16"/>
      <c r="F8" s="14">
        <v>300000000</v>
      </c>
      <c r="G8" s="14">
        <v>150000000</v>
      </c>
      <c r="H8" s="14">
        <f>F8-G8</f>
        <v>150000000</v>
      </c>
      <c r="I8" s="16"/>
      <c r="J8" s="16"/>
      <c r="K8" s="14">
        <f t="shared" si="2"/>
        <v>150000000</v>
      </c>
      <c r="L8" s="14">
        <f t="shared" ref="L8:L9" si="3">K8</f>
        <v>150000000</v>
      </c>
      <c r="M8" s="16"/>
    </row>
    <row r="9" spans="1:13" ht="20" customHeight="1" x14ac:dyDescent="0.35">
      <c r="A9" s="8">
        <v>46112</v>
      </c>
      <c r="B9" s="5"/>
      <c r="C9" s="16"/>
      <c r="D9" s="16"/>
      <c r="E9" s="16"/>
      <c r="F9" s="14">
        <v>300000000</v>
      </c>
      <c r="G9" s="16">
        <v>200000000</v>
      </c>
      <c r="H9" s="16">
        <f>F9-G9</f>
        <v>100000000</v>
      </c>
      <c r="I9" s="16"/>
      <c r="J9" s="16"/>
      <c r="K9" s="14">
        <f t="shared" si="2"/>
        <v>100000000</v>
      </c>
      <c r="L9" s="14">
        <f t="shared" si="3"/>
        <v>100000000</v>
      </c>
      <c r="M9" s="16"/>
    </row>
    <row r="10" spans="1:13" ht="20" customHeight="1" x14ac:dyDescent="0.35">
      <c r="A10" s="8">
        <v>46142</v>
      </c>
      <c r="B10" s="5"/>
      <c r="C10" s="16"/>
      <c r="D10" s="16"/>
      <c r="E10" s="16"/>
      <c r="F10" s="16">
        <v>200000000</v>
      </c>
      <c r="G10" s="16"/>
      <c r="H10" s="16">
        <f>F10</f>
        <v>200000000</v>
      </c>
      <c r="I10" s="16"/>
      <c r="J10" s="16"/>
      <c r="K10" s="16">
        <v>200000000</v>
      </c>
      <c r="L10" s="16"/>
      <c r="M10" s="16"/>
    </row>
    <row r="11" spans="1:13" ht="20" customHeight="1" x14ac:dyDescent="0.35">
      <c r="A11" s="8"/>
      <c r="B11" s="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20" customHeight="1" x14ac:dyDescent="0.35">
      <c r="A12" s="8"/>
      <c r="B12" s="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20" customHeight="1" x14ac:dyDescent="0.35">
      <c r="A13" s="8"/>
      <c r="B13" s="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20" customHeight="1" x14ac:dyDescent="0.35">
      <c r="A14" s="5"/>
      <c r="B14" s="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ht="20" customHeight="1" x14ac:dyDescent="0.35">
      <c r="A15" s="5"/>
      <c r="B15" s="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20" customHeight="1" x14ac:dyDescent="0.35">
      <c r="A16" s="5"/>
      <c r="B16" s="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x14ac:dyDescent="0.35">
      <c r="A17" s="5"/>
      <c r="B17" s="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x14ac:dyDescent="0.35">
      <c r="A18" s="5"/>
      <c r="B18" s="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</sheetData>
  <mergeCells count="12">
    <mergeCell ref="J2:J3"/>
    <mergeCell ref="K2:K3"/>
    <mergeCell ref="L2:M2"/>
    <mergeCell ref="B5:B8"/>
    <mergeCell ref="C5:C8"/>
    <mergeCell ref="D5:D8"/>
    <mergeCell ref="A2:A3"/>
    <mergeCell ref="B2:B3"/>
    <mergeCell ref="C2:C3"/>
    <mergeCell ref="D2:D3"/>
    <mergeCell ref="E2:E3"/>
    <mergeCell ref="F2:I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FD62-08F0-45A0-9AC6-1D026731AC05}">
  <dimension ref="A1:J9"/>
  <sheetViews>
    <sheetView workbookViewId="0">
      <selection activeCell="A10" sqref="A10"/>
    </sheetView>
  </sheetViews>
  <sheetFormatPr defaultRowHeight="14" x14ac:dyDescent="0.3"/>
  <cols>
    <col min="1" max="4" width="8.7265625" style="1"/>
    <col min="5" max="5" width="12.1796875" style="1" bestFit="1" customWidth="1"/>
    <col min="6" max="16384" width="8.7265625" style="1"/>
  </cols>
  <sheetData>
    <row r="1" spans="1:10" s="36" customFormat="1" ht="17.25" customHeight="1" x14ac:dyDescent="0.3">
      <c r="A1" s="35" t="s">
        <v>23</v>
      </c>
      <c r="B1" s="35"/>
      <c r="C1" s="35"/>
      <c r="D1" s="35"/>
      <c r="E1" s="35" t="s">
        <v>24</v>
      </c>
      <c r="F1" s="35"/>
      <c r="G1" s="35"/>
      <c r="H1" s="35"/>
      <c r="I1" s="35"/>
      <c r="J1" s="35"/>
    </row>
    <row r="2" spans="1:10" s="36" customFormat="1" ht="16.5" x14ac:dyDescent="0.35">
      <c r="A2" s="35" t="s">
        <v>25</v>
      </c>
      <c r="B2" s="35"/>
      <c r="C2" s="35"/>
      <c r="D2" s="35"/>
      <c r="E2" s="37" t="s">
        <v>26</v>
      </c>
      <c r="F2" s="37"/>
      <c r="G2" s="37"/>
      <c r="H2" s="37"/>
      <c r="I2" s="37"/>
      <c r="J2" s="37"/>
    </row>
    <row r="3" spans="1:10" s="36" customFormat="1" ht="22.5" customHeight="1" x14ac:dyDescent="0.3">
      <c r="A3" s="38" t="s">
        <v>27</v>
      </c>
      <c r="B3" s="38"/>
      <c r="C3" s="38"/>
      <c r="D3" s="38"/>
      <c r="E3" s="39" t="s">
        <v>28</v>
      </c>
      <c r="F3" s="39"/>
      <c r="G3" s="39"/>
      <c r="H3" s="39"/>
      <c r="I3" s="39"/>
      <c r="J3" s="39"/>
    </row>
    <row r="5" spans="1:10" x14ac:dyDescent="0.3">
      <c r="D5" s="1" t="s">
        <v>29</v>
      </c>
    </row>
    <row r="6" spans="1:10" x14ac:dyDescent="0.3">
      <c r="D6" s="1" t="s">
        <v>30</v>
      </c>
    </row>
    <row r="9" spans="1:10" x14ac:dyDescent="0.3">
      <c r="A9" s="1">
        <v>1</v>
      </c>
      <c r="B9" s="1" t="s">
        <v>21</v>
      </c>
      <c r="E9" s="40">
        <f>'DA1'!E6</f>
        <v>500000000</v>
      </c>
    </row>
  </sheetData>
  <mergeCells count="6">
    <mergeCell ref="A1:D1"/>
    <mergeCell ref="E1:J1"/>
    <mergeCell ref="A2:D2"/>
    <mergeCell ref="E2:J2"/>
    <mergeCell ref="A3:D3"/>
    <mergeCell ref="E3:J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AC7E-9BCE-48AD-BDA9-25AD08275B8C}">
  <dimension ref="C4:C8"/>
  <sheetViews>
    <sheetView workbookViewId="0">
      <selection activeCell="E20" sqref="E20"/>
    </sheetView>
  </sheetViews>
  <sheetFormatPr defaultRowHeight="14.5" x14ac:dyDescent="0.35"/>
  <cols>
    <col min="3" max="3" width="30.453125" customWidth="1"/>
  </cols>
  <sheetData>
    <row r="4" spans="3:3" x14ac:dyDescent="0.35">
      <c r="C4" t="s">
        <v>16</v>
      </c>
    </row>
    <row r="5" spans="3:3" x14ac:dyDescent="0.35">
      <c r="C5" t="s">
        <v>31</v>
      </c>
    </row>
    <row r="6" spans="3:3" x14ac:dyDescent="0.35">
      <c r="C6" t="s">
        <v>32</v>
      </c>
    </row>
    <row r="7" spans="3:3" x14ac:dyDescent="0.35">
      <c r="C7" t="s">
        <v>33</v>
      </c>
    </row>
    <row r="8" spans="3:3" x14ac:dyDescent="0.35">
      <c r="C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TH</vt:lpstr>
      <vt:lpstr>DA1</vt:lpstr>
      <vt:lpstr>DA2</vt:lpstr>
      <vt:lpstr>DA3</vt:lpstr>
      <vt:lpstr>DA4</vt:lpstr>
      <vt:lpstr>DA5</vt:lpstr>
      <vt:lpstr>Thông tri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2026-05-29T14:02:45Z</dcterms:created>
  <dcterms:modified xsi:type="dcterms:W3CDTF">2026-05-29T14:39:01Z</dcterms:modified>
</cp:coreProperties>
</file>
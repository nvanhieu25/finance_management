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D3C22A0-D20B-4C66-B67D-D2BCA0D3E662}" xr6:coauthVersionLast="47" xr6:coauthVersionMax="47" xr10:uidLastSave="{00000000-0000-0000-0000-000000000000}"/>
  <x:bookViews>
    <x:workbookView xWindow="-110" yWindow="-110" windowWidth="19420" windowHeight="11620" firstSheet="0" activeTab="0" xr2:uid="{7489214C-6F0F-4430-9BEE-297043D40D8E}"/>
  </x:bookViews>
  <x:sheets>
    <x:sheet name="TH" sheetId="8" r:id="rId1"/>
    <x:sheet name="DA1" sheetId="1" r:id="rId2"/>
    <x:sheet name="DA2" sheetId="3" r:id="rId3"/>
    <x:sheet name="DA3" sheetId="4" r:id="rId4"/>
    <x:sheet name="DA4" sheetId="5" r:id="rId5"/>
    <x:sheet name="DA5" sheetId="6" r:id="rId6"/>
    <x:sheet name="Thông tri" sheetId="2" r:id="rId7"/>
    <x:sheet name="Sheet9" sheetId="9" r:id="rId8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C4" i="8"/>
  <x:c r="E4" i="8"/>
  <x:c r="F4" i="8"/>
  <x:c r="G4" i="8"/>
  <x:c r="H4" i="8"/>
  <x:c r="I4" i="8"/>
  <x:c r="J4" i="8"/>
  <x:c r="K4" i="8"/>
  <x:c r="L4" i="8"/>
  <x:c r="M4" i="8"/>
  <x:c r="C4" i="1"/>
  <x:c r="D4" i="1"/>
  <x:c r="E4" i="1"/>
  <x:c r="F4" i="1"/>
  <x:c r="G4" i="1"/>
  <x:c r="H4" i="1"/>
  <x:c r="I4" i="1"/>
  <x:c r="J4" i="1"/>
  <x:c r="K4" i="1"/>
  <x:c r="L4" i="1"/>
  <x:c r="M4" i="1"/>
  <x:c r="H6" i="1"/>
  <x:c r="K6" i="1"/>
  <x:c r="L6" i="1"/>
  <x:c r="H7" i="1"/>
  <x:c r="K7" i="1"/>
  <x:c r="L7" i="1"/>
  <x:c r="H8" i="1"/>
  <x:c r="K8" i="1"/>
  <x:c r="L8" i="1"/>
  <x:c r="H9" i="1"/>
  <x:c r="K9" i="1"/>
  <x:c r="L9" i="1"/>
  <x:c r="H10" i="1"/>
  <x:c r="C4" i="3"/>
  <x:c r="D4" i="3"/>
  <x:c r="E4" i="3"/>
  <x:c r="F4" i="3"/>
  <x:c r="G4" i="3"/>
  <x:c r="H4" i="3"/>
  <x:c r="I4" i="3"/>
  <x:c r="J4" i="3"/>
  <x:c r="K4" i="3"/>
  <x:c r="L4" i="3"/>
  <x:c r="M4" i="3"/>
  <x:c r="H6" i="3"/>
  <x:c r="K6" i="3"/>
  <x:c r="L6" i="3"/>
  <x:c r="H7" i="3"/>
  <x:c r="K7" i="3"/>
  <x:c r="L7" i="3"/>
  <x:c r="H8" i="3"/>
  <x:c r="K8" i="3"/>
  <x:c r="L8" i="3"/>
  <x:c r="H9" i="3"/>
  <x:c r="K9" i="3"/>
  <x:c r="L9" i="3"/>
  <x:c r="H10" i="3"/>
  <x:c r="C4" i="4"/>
  <x:c r="D4" i="4"/>
  <x:c r="E4" i="4"/>
  <x:c r="F4" i="4"/>
  <x:c r="G4" i="4"/>
  <x:c r="H4" i="4"/>
  <x:c r="I4" i="4"/>
  <x:c r="J4" i="4"/>
  <x:c r="K4" i="4"/>
  <x:c r="L4" i="4"/>
  <x:c r="M4" i="4"/>
  <x:c r="H6" i="4"/>
  <x:c r="K6" i="4"/>
  <x:c r="L6" i="4"/>
  <x:c r="H7" i="4"/>
  <x:c r="K7" i="4"/>
  <x:c r="L7" i="4"/>
  <x:c r="H8" i="4"/>
  <x:c r="K8" i="4"/>
  <x:c r="L8" i="4"/>
  <x:c r="H9" i="4"/>
  <x:c r="K9" i="4"/>
  <x:c r="L9" i="4"/>
  <x:c r="H10" i="4"/>
  <x:c r="C4" i="5"/>
  <x:c r="D4" i="5"/>
  <x:c r="E4" i="5"/>
  <x:c r="F4" i="5"/>
  <x:c r="G4" i="5"/>
  <x:c r="H4" i="5"/>
  <x:c r="I4" i="5"/>
  <x:c r="J4" i="5"/>
  <x:c r="K4" i="5"/>
  <x:c r="L4" i="5"/>
  <x:c r="M4" i="5"/>
  <x:c r="H6" i="5"/>
  <x:c r="K6" i="5"/>
  <x:c r="L6" i="5"/>
  <x:c r="H7" i="5"/>
  <x:c r="K7" i="5"/>
  <x:c r="L7" i="5"/>
  <x:c r="H8" i="5"/>
  <x:c r="K8" i="5"/>
  <x:c r="L8" i="5"/>
  <x:c r="H9" i="5"/>
  <x:c r="K9" i="5"/>
  <x:c r="L9" i="5"/>
  <x:c r="H10" i="5"/>
  <x:c r="C4" i="6"/>
  <x:c r="D4" i="6"/>
  <x:c r="E4" i="6"/>
  <x:c r="F4" i="6"/>
  <x:c r="G4" i="6"/>
  <x:c r="H4" i="6"/>
  <x:c r="I4" i="6"/>
  <x:c r="J4" i="6"/>
  <x:c r="K4" i="6"/>
  <x:c r="L4" i="6"/>
  <x:c r="M4" i="6"/>
  <x:c r="H6" i="6"/>
  <x:c r="K6" i="6"/>
  <x:c r="L6" i="6"/>
  <x:c r="H7" i="6"/>
  <x:c r="K7" i="6"/>
  <x:c r="L7" i="6"/>
  <x:c r="H8" i="6"/>
  <x:c r="K8" i="6"/>
  <x:c r="L8" i="6"/>
  <x:c r="H9" i="6"/>
  <x:c r="K9" i="6"/>
  <x:c r="L9" i="6"/>
  <x:c r="H10" i="6"/>
  <x:c r="E9" i="2"/>
</x:calcChain>
</file>

<file path=xl/sharedStrings.xml><?xml version="1.0" encoding="utf-8"?>
<x:sst xmlns:x="http://schemas.openxmlformats.org/spreadsheetml/2006/main">
  <x:si>
    <x:t>STT</x:t>
  </x:si>
  <x:si>
    <x:t>Dự án</x:t>
  </x:si>
  <x:si>
    <x:t>Nhà thầu</x:t>
  </x:si>
  <x:si>
    <x:t>Tạm ứng</x:t>
  </x:si>
  <x:si>
    <x:t>Giá trị giải ngân</x:t>
  </x:si>
  <x:si>
    <x:t>Tạm ứng chưa thu hồi</x:t>
  </x:si>
  <x:si>
    <x:t>Tổng GT giải ngân</x:t>
  </x:si>
  <x:si>
    <x:t>Quyết toán năm 2026</x:t>
  </x:si>
  <x:si>
    <x:t>TT KLHT</x:t>
  </x:si>
  <x:si>
    <x:t>Thu ứng</x:t>
  </x:si>
  <x:si>
    <x:t>NSNN</x:t>
  </x:si>
  <x:si>
    <x:t>Ngoại hối</x:t>
  </x:si>
  <x:si>
    <x:t>NH</x:t>
  </x:si>
  <x:si>
    <x:t>Tổng cộng:</x:t>
  </x:si>
  <x:si>
    <x:t>DA1</x:t>
  </x:si>
  <x:si>
    <x:t>DA2</x:t>
  </x:si>
  <x:si>
    <x:t>DA3</x:t>
  </x:si>
  <x:si>
    <x:t>DA4</x:t>
  </x:si>
  <x:si>
    <x:t>DA5</x:t>
  </x:si>
  <x:si>
    <x:t>Ngày tháng</x:t>
  </x:si>
  <x:si>
    <x:t>Tên gói thầu</x:t>
  </x:si>
  <x:si>
    <x:t>Hợp đồng</x:t>
  </x:si>
  <x:si>
    <x:t>Phụ lục HĐ</x:t>
  </x:si>
  <x:si>
    <x:t>Hợp đồng số 01/2026 ngày 01/01/2026</x:t>
  </x:si>
  <x:si>
    <x:t>QUÂN CHỦNG HẢI QUÂN</x:t>
  </x:si>
  <x:si>
    <x:t>CỘNG HOÀ XÃ HỘI CHỦ NGHĨA VIỆT NAM</x:t>
  </x:si>
  <x:si>
    <x:t>BỘ THAM MƯU</x:t>
  </x:si>
  <x:si>
    <x:t>Độc lập - Tự do - Hạnh phúc</x:t>
  </x:si>
  <x:si>
    <x:t>Số:           /TM-TCh</x:t>
  </x:si>
  <x:si>
    <x:t>Hải Phòng, ngày     tháng 3  năm 2026</x:t>
  </x:si>
  <x:si>
    <x:t>THÔNG TRI</x:t>
  </x:si>
  <x:si>
    <x:t>Tạm ưng</x:t>
  </x:si>
  <x:si>
    <x:t>QĐ phê duyệt DA</x:t>
  </x:si>
  <x:si>
    <x:t>Tờ trình phê duyệt KHLCNT</x:t>
  </x:si>
  <x:si>
    <x:t>Quyết định phê duyệt KHLCNT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</x:si>
</x:sst>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1" formatCode="_(* #,##0_);_(* \(#,##0\);_(* &quot;-&quot;_);_(@_)"/>
  </x:numFmts>
  <x:fonts count="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3"/>
      <x:name val="Times New Roman"/>
      <x:family val="1"/>
    </x:font>
    <x:font>
      <x:sz val="10"/>
      <x:name val="Times New Roman"/>
      <x:family val="1"/>
    </x:font>
    <x:font>
      <x:sz val="13"/>
      <x:name val="Times New Roman"/>
      <x:family val="1"/>
    </x:font>
    <x:font>
      <x:i/>
      <x:sz val="13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</x:borders>
  <x:cellStyleXfs count="23">
    <x:xf numFmtId="0" fontId="0" fillId="0" borderId="0"/>
    <x:xf numFmtId="41" fontId="1" fillId="0" borderId="0" applyFon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41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1" fontId="3" fillId="0" borderId="2" applyNumberFormat="1" applyFill="1" applyBorder="1" applyAlignment="1" applyProtection="1">
      <x:protection locked="1" hidden="0"/>
    </x:xf>
    <x:xf numFmtId="41" fontId="3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41" fontId="3" fillId="0" borderId="3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41" fontId="2" fillId="0" borderId="2" applyNumberFormat="1" applyFill="1" applyBorder="1" applyAlignment="1" applyProtection="1">
      <x:protection locked="1" hidden="0"/>
    </x:xf>
    <x:xf numFmtId="41" fontId="2" fillId="0" borderId="1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41" fontId="2" fillId="0" borderId="4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41" fontId="2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41">
    <x:xf numFmtId="0" fontId="0" fillId="0" borderId="0" xfId="0"/>
    <x:xf numFmtId="0" fontId="2" fillId="0" borderId="0" xfId="0" applyFo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14" fontId="2" fillId="0" borderId="1" xfId="0" applyNumberFormat="1" applyFont="1" applyBorder="1" applyAlignment="1">
      <x:alignment horizontal="center" vertical="center"/>
    </x:xf>
    <x:xf numFmtId="41" fontId="3" fillId="0" borderId="2" xfId="1" applyFont="1" applyBorder="1" applyAlignment="1">
      <x:alignment horizontal="center" vertical="center"/>
    </x:xf>
    <x:xf numFmtId="41" fontId="3" fillId="0" borderId="1" xfId="1" applyFont="1" applyBorder="1" applyAlignment="1">
      <x:alignment horizontal="center" vertical="center"/>
    </x:xf>
    <x:xf numFmtId="41" fontId="3" fillId="0" borderId="1" xfId="1" applyFont="1" applyBorder="1" applyAlignment="1">
      <x:alignment horizontal="center" vertical="center" wrapText="1"/>
    </x:xf>
    <x:xf numFmtId="41" fontId="3" fillId="0" borderId="3" xfId="1" applyFont="1" applyBorder="1" applyAlignment="1">
      <x:alignment horizontal="center" vertical="center"/>
    </x:xf>
    <x:xf numFmtId="41" fontId="3" fillId="0" borderId="1" xfId="1" applyFont="1" applyBorder="1" applyAlignment="1">
      <x:alignment horizontal="center" vertical="center"/>
    </x:xf>
    <x:xf numFmtId="41" fontId="2" fillId="0" borderId="1" xfId="1" applyFont="1" applyBorder="1" applyAlignment="1">
      <x:alignment horizontal="center" vertical="center"/>
    </x:xf>
    <x:xf numFmtId="41" fontId="2" fillId="0" borderId="0" xfId="1" applyFont="1" applyAlignment="1">
      <x:alignment vertical="center"/>
    </x:xf>
    <x:xf numFmtId="41" fontId="2" fillId="0" borderId="1" xfId="1" applyFont="1" applyBorder="1" applyAlignment="1">
      <x:alignment vertical="center"/>
    </x:xf>
    <x:xf numFmtId="0" fontId="3" fillId="0" borderId="3" xfId="0" applyFont="1" applyBorder="1" applyAlignment="1">
      <x:alignment horizontal="center" vertical="center"/>
    </x:xf>
    <x:xf numFmtId="41" fontId="3" fillId="0" borderId="3" xfId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41" fontId="2" fillId="0" borderId="2" xfId="1" applyFont="1" applyBorder="1" applyAlignment="1">
      <x:alignment horizontal="center" vertical="center"/>
    </x:xf>
    <x:xf numFmtId="41" fontId="2" fillId="0" borderId="4" xfId="1" applyFont="1" applyBorder="1" applyAlignment="1">
      <x:alignment horizontal="center" vertical="center"/>
    </x:xf>
    <x:xf numFmtId="41" fontId="2" fillId="0" borderId="3" xfId="1" applyFont="1" applyBorder="1" applyAlignment="1">
      <x:alignment horizontal="center" vertical="center"/>
    </x:xf>
    <x:xf numFmtId="41" fontId="2" fillId="0" borderId="2" xfId="1" applyFont="1" applyBorder="1" applyAlignment="1">
      <x:alignment horizontal="center" vertical="center"/>
    </x:xf>
    <x:xf numFmtId="41" fontId="2" fillId="0" borderId="4" xfId="1" applyFont="1" applyBorder="1" applyAlignment="1">
      <x:alignment horizontal="center" vertical="center"/>
    </x:xf>
    <x:xf numFmtId="41" fontId="2" fillId="0" borderId="3" xfId="1" applyFont="1" applyBorder="1" applyAlignment="1">
      <x:alignment horizontal="center" vertical="center"/>
    </x:xf>
    <x:xf numFmtId="0" fontId="2" fillId="0" borderId="2" xfId="0" applyFont="1" applyBorder="1" applyAlignment="1">
      <x:alignment vertical="center" wrapText="1"/>
    </x:xf>
    <x:xf numFmtId="0" fontId="2" fillId="0" borderId="4" xfId="0" applyFont="1" applyBorder="1" applyAlignment="1">
      <x:alignment vertical="center" wrapText="1"/>
    </x:xf>
    <x:xf numFmtId="0" fontId="2" fillId="0" borderId="3" xfId="0" applyFont="1" applyBorder="1" applyAlignment="1">
      <x:alignment vertical="center" wrapText="1"/>
    </x:xf>
    <x:xf numFmtId="41" fontId="2" fillId="0" borderId="2" xfId="1" applyFont="1" applyBorder="1" applyAlignment="1">
      <x:alignment vertical="center"/>
    </x:xf>
    <x:xf numFmtId="41" fontId="2" fillId="0" borderId="4" xfId="1" applyFont="1" applyBorder="1" applyAlignment="1">
      <x:alignment vertical="center"/>
    </x:xf>
    <x:xf numFmtId="41" fontId="2" fillId="0" borderId="3" xfId="1" applyFont="1" applyBorder="1" applyAlignment="1">
      <x:alignment vertical="center"/>
    </x:xf>
    <x:xf numFmtId="41" fontId="2" fillId="0" borderId="0" xfId="1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0" borderId="0" xfId="0" applyFont="1"/>
    <x:xf numFmtId="0" fontId="4" fillId="0" borderId="0" xfId="0" applyFont="1" applyAlignment="1">
      <x:alignment horizont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41" fontId="2" fillId="0" borderId="0" xfId="0" applyNumberFormat="1" applyFont="1"/>
  </x:cellXfs>
  <x:cellStyles count="2">
    <x:cellStyle name="Comma [0]" xfId="1" builtinId="6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2455C7-7DF7-44A3-A57F-D77BBC4BCB72}" mc:Ignorable="x14ac xr xr2 xr3">
  <x:sheetPr>
    <x:outlinePr summaryBelow="1" summaryRight="1"/>
  </x:sheetPr>
  <x:dimension ref="A2:M18"/>
  <x:sheetViews>
    <x:sheetView tabSelected="1" workbookViewId="0">
      <x:selection activeCell="I11" sqref="I11"/>
    </x:sheetView>
  </x:sheetViews>
  <x:sheetFormatPr defaultColWidth="8.726562" defaultRowHeight="14" x14ac:dyDescent="0.35"/>
  <x:cols>
    <x:col min="1" max="1" width="11.269531" style="2" customWidth="1"/>
    <x:col min="2" max="2" width="19.542969" style="2" customWidth="1"/>
    <x:col min="3" max="3" width="9.816406" style="34" customWidth="1"/>
    <x:col min="4" max="4" width="14.269531" style="15" customWidth="1"/>
    <x:col min="5" max="5" width="16.179688" style="15" customWidth="1"/>
    <x:col min="6" max="6" width="14.816406" style="15" customWidth="1"/>
    <x:col min="7" max="7" width="14.269531" style="15" customWidth="1"/>
    <x:col min="8" max="8" width="14.179688" style="15" customWidth="1"/>
    <x:col min="9" max="9" width="12.363281" style="15" customWidth="1"/>
    <x:col min="10" max="10" width="13.632812" style="15" customWidth="1"/>
    <x:col min="11" max="11" width="17.816406" style="15" bestFit="1" customWidth="1"/>
    <x:col min="12" max="12" width="12.179688" style="15" bestFit="1" customWidth="1"/>
    <x:col min="13" max="13" width="12.453125" style="15" customWidth="1"/>
    <x:col min="14" max="16384" width="8.726562" style="2" customWidth="1"/>
  </x:cols>
  <x:sheetData>
    <x:row r="2" spans="1:13" ht="20" customHeight="1" s="4" customFormat="1" x14ac:dyDescent="0.35">
      <x:c r="A2" s="6" t="s">
        <x:v>0</x:v>
      </x:c>
      <x:c r="B2" s="6" t="s">
        <x:v>1</x:v>
      </x:c>
      <x:c r="C2" s="9" t="s">
        <x:v>2</x:v>
      </x:c>
      <x:c r="D2" s="9" t="s">
        <x:v>3</x:v>
      </x:c>
      <x:c r="E2" s="10" t="s">
        <x:v>4</x:v>
      </x:c>
      <x:c r="F2" s="10"/>
      <x:c r="G2" s="10"/>
      <x:c r="H2" s="10"/>
      <x:c r="I2" s="11" t="s">
        <x:v>5</x:v>
      </x:c>
      <x:c r="J2" s="11" t="s">
        <x:v>6</x:v>
      </x:c>
      <x:c r="K2" s="10" t="s">
        <x:v>7</x:v>
      </x:c>
      <x:c r="L2" s="10"/>
    </x:row>
    <x:row r="3" spans="1:13" ht="20" customHeight="1" s="4" customFormat="1" x14ac:dyDescent="0.35">
      <x:c r="A3" s="7"/>
      <x:c r="B3" s="7"/>
      <x:c r="C3" s="12"/>
      <x:c r="D3" s="12"/>
      <x:c r="E3" s="10" t="s">
        <x:v>8</x:v>
      </x:c>
      <x:c r="F3" s="10" t="s">
        <x:v>9</x:v>
      </x:c>
      <x:c r="G3" s="10" t="s">
        <x:v>10</x:v>
      </x:c>
      <x:c r="H3" s="10" t="s">
        <x:v>11</x:v>
      </x:c>
      <x:c r="I3" s="11"/>
      <x:c r="J3" s="11"/>
      <x:c r="K3" s="10" t="s">
        <x:v>10</x:v>
      </x:c>
      <x:c r="L3" s="10" t="s">
        <x:v>12</x:v>
      </x:c>
    </x:row>
    <x:row r="4" spans="1:13" ht="20" customHeight="1" s="4" customFormat="1" x14ac:dyDescent="0.35">
      <x:c r="A4" s="7"/>
      <x:c r="B4" s="7" t="s">
        <x:v>13</x:v>
      </x:c>
      <x:c r="C4" s="12">
        <x:f>SUM(C5:C7)</x:f>
      </x:c>
      <x:c r="D4" s="12"/>
      <x:c r="E4" s="12">
        <x:f>SUM(E5:E16)</x:f>
      </x:c>
      <x:c r="F4" s="12">
        <x:f>SUM(F5:F16)</x:f>
      </x:c>
      <x:c r="G4" s="12">
        <x:f>SUM(G5:G16)</x:f>
      </x:c>
      <x:c r="H4" s="12">
        <x:f>SUM(H5:H16)</x:f>
      </x:c>
      <x:c r="I4" s="12">
        <x:f>SUM(I5:I16)</x:f>
      </x:c>
      <x:c r="J4" s="12">
        <x:f>E4-G4</x:f>
      </x:c>
      <x:c r="K4" s="12">
        <x:f>SUM(K5:K16)</x:f>
      </x:c>
      <x:c r="L4" s="12">
        <x:f>SUM(L5:L16)</x:f>
      </x:c>
      <x:c r="M4" s="12">
        <x:f>SUM(M5:M16)</x:f>
      </x:c>
    </x:row>
    <x:row r="5" spans="1:13" ht="27.5" customHeight="1" s="3" customFormat="1" x14ac:dyDescent="0.35">
      <x:c r="A5" s="8">
        <x:v>1</x:v>
      </x:c>
      <x:c r="B5" s="28" t="s">
        <x:v>14</x:v>
      </x:c>
      <x:c r="C5" s="22" t="s"/>
      <x:c r="D5" s="31">
        <x:v>500000000</x:v>
      </x:c>
      <x:c r="E5" s="14">
        <x:v>1100000000</x:v>
      </x:c>
      <x:c r="F5" s="14">
        <x:v>500000000</x:v>
      </x:c>
      <x:c r="G5" s="14">
        <x:v>1100000000</x:v>
      </x:c>
      <x:c r="H5" s="14">
        <x:v>0</x:v>
      </x:c>
      <x:c r="I5" s="14">
        <x:v>0</x:v>
      </x:c>
      <x:c r="J5" s="14">
        <x:v>1100000000</x:v>
      </x:c>
      <x:c r="K5" s="14">
        <x:v>1100000000</x:v>
      </x:c>
      <x:c r="L5" s="14"/>
      <x:c r="M5" s="14"/>
    </x:row>
    <x:row r="6" spans="1:13" ht="20" customHeight="1" s="3" customFormat="1" x14ac:dyDescent="0.35">
      <x:c r="A6" s="8">
        <x:v>2</x:v>
      </x:c>
      <x:c r="B6" s="29" t="s">
        <x:v>15</x:v>
      </x:c>
      <x:c r="C6" s="23" t="s"/>
      <x:c r="D6" s="32">
        <x:v>500000000</x:v>
      </x:c>
      <x:c r="E6" s="14">
        <x:v>1100000000</x:v>
      </x:c>
      <x:c r="F6" s="14">
        <x:v>500000000</x:v>
      </x:c>
      <x:c r="G6" s="14">
        <x:v>1100000000</x:v>
      </x:c>
      <x:c r="H6" s="14">
        <x:v>0</x:v>
      </x:c>
      <x:c r="I6" s="14">
        <x:v>0</x:v>
      </x:c>
      <x:c r="J6" s="14">
        <x:v>1100000000</x:v>
      </x:c>
      <x:c r="K6" s="14">
        <x:v>900000000</x:v>
      </x:c>
      <x:c r="L6" s="14"/>
      <x:c r="M6" s="14"/>
    </x:row>
    <x:row r="7" spans="1:13" ht="20" customHeight="1" s="3" customFormat="1" x14ac:dyDescent="0.35">
      <x:c r="A7" s="8">
        <x:v>3</x:v>
      </x:c>
      <x:c r="B7" s="29" t="s">
        <x:v>16</x:v>
      </x:c>
      <x:c r="C7" s="23" t="s"/>
      <x:c r="D7" s="32">
        <x:v>500000000</x:v>
      </x:c>
      <x:c r="E7" s="14">
        <x:v>1100000000</x:v>
      </x:c>
      <x:c r="F7" s="14">
        <x:v>500000000</x:v>
      </x:c>
      <x:c r="G7" s="14">
        <x:v>1100000000</x:v>
      </x:c>
      <x:c r="H7" s="14">
        <x:v>0</x:v>
      </x:c>
      <x:c r="I7" s="14">
        <x:v>0</x:v>
      </x:c>
      <x:c r="J7" s="14">
        <x:v>1100000000</x:v>
      </x:c>
      <x:c r="K7" s="14">
        <x:v>900000000</x:v>
      </x:c>
      <x:c r="L7" s="14"/>
      <x:c r="M7" s="14"/>
    </x:row>
    <x:row r="8" spans="1:13" ht="20" customHeight="1" x14ac:dyDescent="0.35">
      <x:c r="A8" s="8">
        <x:v>4</x:v>
      </x:c>
      <x:c r="B8" s="30" t="s">
        <x:v>17</x:v>
      </x:c>
      <x:c r="C8" s="24" t="s"/>
      <x:c r="D8" s="33">
        <x:v>500000000</x:v>
      </x:c>
      <x:c r="E8" s="16">
        <x:v>1100000000</x:v>
      </x:c>
      <x:c r="F8" s="14">
        <x:v>500000000</x:v>
      </x:c>
      <x:c r="G8" s="14">
        <x:v>1100000000</x:v>
      </x:c>
      <x:c r="H8" s="14">
        <x:v>0</x:v>
      </x:c>
      <x:c r="I8" s="16">
        <x:v>0</x:v>
      </x:c>
      <x:c r="J8" s="16">
        <x:v>1100000000</x:v>
      </x:c>
      <x:c r="K8" s="14">
        <x:v>900000000</x:v>
      </x:c>
      <x:c r="L8" s="14"/>
      <x:c r="M8" s="16"/>
    </x:row>
    <x:row r="9" spans="1:13" ht="20" customHeight="1" x14ac:dyDescent="0.35">
      <x:c r="A9" s="8">
        <x:v>5</x:v>
      </x:c>
      <x:c r="B9" s="5" t="s">
        <x:v>18</x:v>
      </x:c>
      <x:c r="C9" s="14" t="s"/>
      <x:c r="D9" s="16">
        <x:v>500000000</x:v>
      </x:c>
      <x:c r="E9" s="16">
        <x:v>1100000000</x:v>
      </x:c>
      <x:c r="F9" s="14">
        <x:v>500000000</x:v>
      </x:c>
      <x:c r="G9" s="16">
        <x:v>1100000000</x:v>
      </x:c>
      <x:c r="H9" s="16">
        <x:v>0</x:v>
      </x:c>
      <x:c r="I9" s="16">
        <x:v>0</x:v>
      </x:c>
      <x:c r="J9" s="16">
        <x:v>1100000000</x:v>
      </x:c>
      <x:c r="K9" s="14">
        <x:v>900000000</x:v>
      </x:c>
      <x:c r="L9" s="14"/>
      <x:c r="M9" s="16"/>
    </x:row>
    <x:row r="10" spans="1:13" ht="20" customHeight="1" x14ac:dyDescent="0.35">
      <x:c r="A10" s="8"/>
      <x:c r="B10" s="5"/>
      <x:c r="C10" s="14"/>
      <x:c r="D10" s="16"/>
      <x:c r="F10" s="16"/>
      <x:c r="G10" s="16"/>
      <x:c r="H10" s="16"/>
      <x:c r="I10" s="16"/>
      <x:c r="J10" s="16"/>
      <x:c r="K10" s="16"/>
      <x:c r="L10" s="16"/>
      <x:c r="M10" s="16"/>
    </x:row>
    <x:row r="11" spans="1:13" ht="20" customHeight="1" x14ac:dyDescent="0.35">
      <x:c r="A11" s="8"/>
      <x:c r="B11" s="5"/>
      <x:c r="C11" s="14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spans="1:13" ht="20" customHeight="1" x14ac:dyDescent="0.35">
      <x:c r="A12" s="8"/>
      <x:c r="B12" s="5"/>
      <x:c r="C12" s="14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spans="1:13" ht="20" customHeight="1" x14ac:dyDescent="0.35">
      <x:c r="A13" s="8"/>
      <x:c r="B13" s="5"/>
      <x:c r="C13" s="14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spans="1:13" ht="20" customHeight="1" x14ac:dyDescent="0.35">
      <x:c r="A14" s="5"/>
      <x:c r="B14" s="5"/>
      <x:c r="C14" s="14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spans="1:13" ht="20" customHeight="1" x14ac:dyDescent="0.35">
      <x:c r="A15" s="5"/>
      <x:c r="B15" s="5"/>
      <x:c r="C15" s="14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spans="1:13" ht="20" customHeight="1" x14ac:dyDescent="0.35">
      <x:c r="A16" s="5"/>
      <x:c r="B16" s="5"/>
      <x:c r="C16" s="14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spans="1:13" x14ac:dyDescent="0.35">
      <x:c r="A17" s="5"/>
      <x:c r="B17" s="5"/>
      <x:c r="C17" s="14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spans="1:13" x14ac:dyDescent="0.35">
      <x:c r="A18" s="5"/>
      <x:c r="B18" s="5"/>
      <x:c r="C18" s="14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  <x:row r="19" spans="1:13">
      <x:c r="C19" s="34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</x:row>
    <x:row r="20" spans="1:13">
      <x:c r="C20" s="34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</x:row>
    <x:row r="21" spans="1:13">
      <x:c r="C21" s="34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</x:row>
    <x:row r="22" spans="1:13">
      <x:c r="C22" s="34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</x:row>
    <x:row r="23" spans="1:13">
      <x:c r="C23" s="34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</x:row>
    <x:row r="24" spans="1:13">
      <x:c r="C24" s="34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</x:row>
    <x:row r="25" spans="1:13">
      <x:c r="C25" s="34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</x:row>
    <x:row r="26" spans="1:13">
      <x:c r="C26" s="34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</x:row>
    <x:row r="27" spans="1:13">
      <x:c r="C27" s="34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</x:row>
    <x:row r="28" spans="1:13">
      <x:c r="C28" s="34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</x:row>
    <x:row r="29" spans="1:13">
      <x:c r="C29" s="34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</x:row>
    <x:row r="30" spans="1:13">
      <x:c r="C30" s="34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</x:row>
    <x:row r="31" spans="1:13">
      <x:c r="C31" s="34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</x:row>
    <x:row r="32" spans="1:13">
      <x:c r="C32" s="34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</x:row>
    <x:row r="33" spans="1:13">
      <x:c r="C33" s="34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</x:row>
    <x:row r="34" spans="1:13">
      <x:c r="C34" s="34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</x:row>
    <x:row r="35" spans="1:13">
      <x:c r="C35" s="34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</x:row>
    <x:row r="36" spans="1:13">
      <x:c r="C36" s="34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</x:row>
    <x:row r="37" spans="1:13">
      <x:c r="C37" s="34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</x:row>
    <x:row r="38" spans="1:13">
      <x:c r="C38" s="34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</x:row>
    <x:row r="39" spans="1:13">
      <x:c r="C39" s="34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</x:row>
    <x:row r="40" spans="1:13">
      <x:c r="C40" s="34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</x:row>
    <x:row r="41" spans="1:13">
      <x:c r="C41" s="34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</x:row>
    <x:row r="42" spans="1:13">
      <x:c r="C42" s="34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</x:row>
    <x:row r="43" spans="1:13">
      <x:c r="C43" s="34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</x:row>
    <x:row r="44" spans="1:13">
      <x:c r="C44" s="34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</x:row>
    <x:row r="45" spans="1:13">
      <x:c r="C45" s="34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</x:row>
    <x:row r="46" spans="1:13">
      <x:c r="C46" s="34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</x:row>
    <x:row r="47" spans="1:13">
      <x:c r="C47" s="34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</x:row>
    <x:row r="48" spans="1:13">
      <x:c r="C48" s="34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</x:row>
    <x:row r="49" spans="1:13">
      <x:c r="C49" s="34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</x:row>
    <x:row r="50" spans="1:13">
      <x:c r="C50" s="34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</x:row>
    <x:row r="51" spans="1:13">
      <x:c r="C51" s="34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</x:row>
    <x:row r="52" spans="1:13">
      <x:c r="C52" s="34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</x:row>
    <x:row r="53" spans="1:13">
      <x:c r="C53" s="34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</x:row>
    <x:row r="54" spans="1:13">
      <x:c r="C54" s="34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</x:row>
    <x:row r="55" spans="1:13">
      <x:c r="C55" s="34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</x:row>
  </x:sheetData>
  <x:mergeCells count="8">
    <x:mergeCell ref="A2:A3"/>
    <x:mergeCell ref="B2:B3"/>
    <x:mergeCell ref="C2:C3"/>
    <x:mergeCell ref="D2:D3"/>
    <x:mergeCell ref="E2:H2"/>
    <x:mergeCell ref="I2:I3"/>
    <x:mergeCell ref="J2:J3"/>
    <x:mergeCell ref="K2:L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72A30B-C868-4AB1-A316-3FDDC1D8548C}" mc:Ignorable="x14ac xr xr2 xr3">
  <x:sheetPr>
    <x:outlinePr summaryBelow="1" summaryRight="1"/>
  </x:sheetPr>
  <x:dimension ref="A2:M18"/>
  <x:sheetViews>
    <x:sheetView workbookViewId="0">
      <x:selection activeCell="B5" sqref="B5 B5:B8"/>
    </x:sheetView>
  </x:sheetViews>
  <x:sheetFormatPr defaultColWidth="8.726562" defaultRowHeight="14" x14ac:dyDescent="0.35"/>
  <x:cols>
    <x:col min="1" max="1" width="11.269531" style="2" customWidth="1"/>
    <x:col min="2" max="2" width="19.542969" style="2" customWidth="1"/>
    <x:col min="3" max="3" width="13.816406" style="15" bestFit="1" customWidth="1"/>
    <x:col min="4" max="4" width="14.269531" style="15" customWidth="1"/>
    <x:col min="5" max="5" width="16.179688" style="15" customWidth="1"/>
    <x:col min="6" max="6" width="14.816406" style="15" customWidth="1"/>
    <x:col min="7" max="7" width="14.269531" style="15" customWidth="1"/>
    <x:col min="8" max="8" width="14.179688" style="15" customWidth="1"/>
    <x:col min="9" max="9" width="12.363281" style="15" customWidth="1"/>
    <x:col min="10" max="10" width="13.632812" style="15" customWidth="1"/>
    <x:col min="11" max="11" width="17.816406" style="15" bestFit="1" customWidth="1"/>
    <x:col min="12" max="12" width="13.816406" style="15" bestFit="1" customWidth="1"/>
    <x:col min="13" max="13" width="12.453125" style="15" customWidth="1"/>
    <x:col min="14" max="16384" width="8.726562" style="2" customWidth="1"/>
  </x:cols>
  <x:sheetData>
    <x:row r="2" spans="1:13" ht="20" customHeight="1" s="4" customFormat="1" x14ac:dyDescent="0.35">
      <x:c r="A2" s="6" t="s">
        <x:v>19</x:v>
      </x:c>
      <x:c r="B2" s="6" t="s">
        <x:v>20</x:v>
      </x:c>
      <x:c r="C2" s="9" t="s">
        <x:v>21</x:v>
      </x:c>
      <x:c r="D2" s="9" t="s">
        <x:v>22</x:v>
      </x:c>
      <x:c r="E2" s="9" t="s">
        <x:v>3</x:v>
      </x:c>
      <x:c r="F2" s="10" t="s">
        <x:v>4</x:v>
      </x:c>
      <x:c r="G2" s="10"/>
      <x:c r="H2" s="10"/>
      <x:c r="I2" s="10"/>
      <x:c r="J2" s="11" t="s">
        <x:v>5</x:v>
      </x:c>
      <x:c r="K2" s="11" t="s">
        <x:v>6</x:v>
      </x:c>
      <x:c r="L2" s="10" t="s">
        <x:v>7</x:v>
      </x:c>
      <x:c r="M2" s="10"/>
    </x:row>
    <x:row r="3" spans="1:13" ht="20" customHeight="1" s="4" customFormat="1" x14ac:dyDescent="0.35">
      <x:c r="A3" s="7"/>
      <x:c r="B3" s="7"/>
      <x:c r="C3" s="12"/>
      <x:c r="D3" s="12"/>
      <x:c r="E3" s="12"/>
      <x:c r="F3" s="10" t="s">
        <x:v>8</x:v>
      </x:c>
      <x:c r="G3" s="10" t="s">
        <x:v>9</x:v>
      </x:c>
      <x:c r="H3" s="10" t="s">
        <x:v>10</x:v>
      </x:c>
      <x:c r="I3" s="10" t="s">
        <x:v>11</x:v>
      </x:c>
      <x:c r="J3" s="11"/>
      <x:c r="K3" s="11"/>
      <x:c r="L3" s="10" t="s">
        <x:v>10</x:v>
      </x:c>
      <x:c r="M3" s="10" t="s">
        <x:v>12</x:v>
      </x:c>
    </x:row>
    <x:row r="4" spans="1:13" ht="20" customHeight="1" s="4" customFormat="1" x14ac:dyDescent="0.35">
      <x:c r="A4" s="7"/>
      <x:c r="B4" s="7" t="s">
        <x:v>13</x:v>
      </x:c>
      <x:c r="C4" s="12">
        <x:f>SUM(C5:C7)</x:f>
      </x:c>
      <x:c r="D4" s="12">
        <x:f>SUM(D5:D7)</x:f>
      </x:c>
      <x:c r="E4" s="12">
        <x:f>SUM(E5:E16)</x:f>
      </x:c>
      <x:c r="F4" s="12">
        <x:f>SUM(F5:F16)</x:f>
      </x:c>
      <x:c r="G4" s="12">
        <x:f>SUM(G5:G16)</x:f>
      </x:c>
      <x:c r="H4" s="12">
        <x:f>SUM(H5:H16)</x:f>
      </x:c>
      <x:c r="I4" s="12">
        <x:f>SUM(I5:I16)</x:f>
      </x:c>
      <x:c r="J4" s="12">
        <x:f>E4-G4</x:f>
      </x:c>
      <x:c r="K4" s="12">
        <x:f>SUM(K5:K16)</x:f>
      </x:c>
      <x:c r="L4" s="12">
        <x:f>SUM(L5:L16)</x:f>
      </x:c>
      <x:c r="M4" s="12">
        <x:f>SUM(M5:M16)</x:f>
      </x:c>
    </x:row>
    <x:row r="5" spans="1:13" ht="27.5" customHeight="1" s="3" customFormat="1" x14ac:dyDescent="0.35">
      <x:c r="A5" s="8">
        <x:v>46023</x:v>
      </x:c>
      <x:c r="B5" s="19" t="s">
        <x:v>23</x:v>
      </x:c>
      <x:c r="C5" s="22">
        <x:v>1000000000</x:v>
      </x:c>
      <x:c r="D5" s="22">
        <x:v>1100000000</x:v>
      </x:c>
      <x:c r="E5" s="14"/>
      <x:c r="F5" s="14"/>
      <x:c r="G5" s="14"/>
      <x:c r="H5" s="14"/>
      <x:c r="I5" s="14"/>
      <x:c r="J5" s="14"/>
      <x:c r="K5" s="14"/>
      <x:c r="L5" s="14"/>
      <x:c r="M5" s="14"/>
    </x:row>
    <x:row r="6" spans="1:13" ht="20" customHeight="1" s="3" customFormat="1" x14ac:dyDescent="0.35">
      <x:c r="A6" s="8">
        <x:v>46027</x:v>
      </x:c>
      <x:c r="B6" s="20"/>
      <x:c r="C6" s="23"/>
      <x:c r="D6" s="23"/>
      <x:c r="E6" s="14">
        <x:v>500000000</x:v>
      </x:c>
      <x:c r="F6" s="14"/>
      <x:c r="G6" s="14"/>
      <x:c r="H6" s="14">
        <x:f>E6</x:f>
      </x:c>
      <x:c r="I6" s="14"/>
      <x:c r="J6" s="14"/>
      <x:c r="K6" s="14">
        <x:f>H6</x:f>
      </x:c>
      <x:c r="L6" s="14">
        <x:f>K6</x:f>
      </x:c>
      <x:c r="M6" s="14"/>
    </x:row>
    <x:row r="7" spans="1:13" ht="20" customHeight="1" s="3" customFormat="1" x14ac:dyDescent="0.35">
      <x:c r="A7" s="8">
        <x:v>46052</x:v>
      </x:c>
      <x:c r="B7" s="20"/>
      <x:c r="C7" s="23"/>
      <x:c r="D7" s="23"/>
      <x:c r="E7" s="14"/>
      <x:c r="F7" s="14">
        <x:v>300000000</x:v>
      </x:c>
      <x:c r="G7" s="14">
        <x:v>150000000</x:v>
      </x:c>
      <x:c r="H7" s="14">
        <x:f>F7-G7</x:f>
      </x:c>
      <x:c r="I7" s="14"/>
      <x:c r="J7" s="14"/>
      <x:c r="K7" s="14">
        <x:f>H7</x:f>
      </x:c>
      <x:c r="L7" s="14">
        <x:f>K7</x:f>
      </x:c>
      <x:c r="M7" s="14"/>
    </x:row>
    <x:row r="8" spans="1:13" ht="20" customHeight="1" x14ac:dyDescent="0.35">
      <x:c r="A8" s="8">
        <x:v>46081</x:v>
      </x:c>
      <x:c r="B8" s="21"/>
      <x:c r="C8" s="24"/>
      <x:c r="D8" s="24"/>
      <x:c r="E8" s="16"/>
      <x:c r="F8" s="14">
        <x:v>300000000</x:v>
      </x:c>
      <x:c r="G8" s="14">
        <x:v>150000000</x:v>
      </x:c>
      <x:c r="H8" s="14">
        <x:f>F8-G8</x:f>
      </x:c>
      <x:c r="I8" s="16"/>
      <x:c r="J8" s="16"/>
      <x:c r="K8" s="14">
        <x:f>H8</x:f>
      </x:c>
      <x:c r="L8" s="14">
        <x:f>K8</x:f>
      </x:c>
      <x:c r="M8" s="16"/>
    </x:row>
    <x:row r="9" spans="1:13" ht="20" customHeight="1" x14ac:dyDescent="0.35">
      <x:c r="A9" s="8">
        <x:v>46112</x:v>
      </x:c>
      <x:c r="B9" s="5"/>
      <x:c r="C9" s="16"/>
      <x:c r="D9" s="16"/>
      <x:c r="E9" s="16"/>
      <x:c r="F9" s="14">
        <x:v>300000000</x:v>
      </x:c>
      <x:c r="G9" s="16">
        <x:v>200000000</x:v>
      </x:c>
      <x:c r="H9" s="16">
        <x:f>F9-G9</x:f>
      </x:c>
      <x:c r="I9" s="16"/>
      <x:c r="J9" s="16"/>
      <x:c r="K9" s="14">
        <x:f>H9</x:f>
      </x:c>
      <x:c r="L9" s="14">
        <x:f>K9</x:f>
      </x:c>
      <x:c r="M9" s="16"/>
    </x:row>
    <x:row r="10" spans="1:13" ht="20" customHeight="1" x14ac:dyDescent="0.35">
      <x:c r="A10" s="8">
        <x:v>46142</x:v>
      </x:c>
      <x:c r="B10" s="5"/>
      <x:c r="C10" s="16"/>
      <x:c r="D10" s="16"/>
      <x:c r="F10" s="16">
        <x:v>200000000</x:v>
      </x:c>
      <x:c r="G10" s="16"/>
      <x:c r="H10" s="16">
        <x:f>F10</x:f>
      </x:c>
      <x:c r="I10" s="16"/>
      <x:c r="J10" s="16"/>
      <x:c r="K10" s="16">
        <x:v>200000000</x:v>
      </x:c>
      <x:c r="L10" s="16">
        <x:v>200000000</x:v>
      </x:c>
      <x:c r="M10" s="16"/>
    </x:row>
    <x:row r="11" spans="1:13" ht="20" customHeight="1" x14ac:dyDescent="0.35">
      <x:c r="A11" s="8"/>
      <x:c r="B11" s="5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spans="1:13" ht="20" customHeight="1" x14ac:dyDescent="0.35">
      <x:c r="A12" s="8"/>
      <x:c r="B12" s="5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spans="1:13" ht="20" customHeight="1" x14ac:dyDescent="0.35">
      <x:c r="A13" s="8"/>
      <x:c r="B13" s="5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spans="1:13" ht="20" customHeight="1" x14ac:dyDescent="0.35">
      <x:c r="A14" s="5"/>
      <x:c r="B14" s="5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spans="1:13" ht="20" customHeight="1" x14ac:dyDescent="0.35">
      <x:c r="A15" s="5"/>
      <x:c r="B15" s="5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spans="1:13" ht="20" customHeight="1" x14ac:dyDescent="0.35">
      <x:c r="A16" s="5"/>
      <x:c r="B16" s="5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spans="1:13" x14ac:dyDescent="0.35">
      <x:c r="A17" s="5"/>
      <x:c r="B17" s="5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spans="1:13" x14ac:dyDescent="0.35">
      <x:c r="A18" s="5"/>
      <x:c r="B18" s="5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</x:sheetData>
  <x:mergeCells count="12">
    <x:mergeCell ref="A2:A3"/>
    <x:mergeCell ref="B2:B3"/>
    <x:mergeCell ref="C2:C3"/>
    <x:mergeCell ref="D2:D3"/>
    <x:mergeCell ref="E2:E3"/>
    <x:mergeCell ref="F2:I2"/>
    <x:mergeCell ref="J2:J3"/>
    <x:mergeCell ref="K2:K3"/>
    <x:mergeCell ref="L2:M2"/>
    <x:mergeCell ref="B5:B8"/>
    <x:mergeCell ref="C5:C8"/>
    <x:mergeCell ref="D5:D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218645A-D59A-4499-B654-44AC71CA9985}" mc:Ignorable="x14ac xr xr2 xr3">
  <x:sheetPr>
    <x:outlinePr summaryBelow="1" summaryRight="1"/>
  </x:sheetPr>
  <x:dimension ref="A2:M18"/>
  <x:sheetViews>
    <x:sheetView workbookViewId="0">
      <x:selection activeCell="E10" sqref="E10"/>
    </x:sheetView>
  </x:sheetViews>
  <x:sheetFormatPr defaultColWidth="8.726562" defaultRowHeight="14" x14ac:dyDescent="0.35"/>
  <x:cols>
    <x:col min="1" max="1" width="11.269531" style="2" customWidth="1"/>
    <x:col min="2" max="2" width="19.542969" style="2" customWidth="1"/>
    <x:col min="3" max="3" width="13.816406" style="15" bestFit="1" customWidth="1"/>
    <x:col min="4" max="4" width="14.269531" style="15" customWidth="1"/>
    <x:col min="5" max="5" width="16.179688" style="15" customWidth="1"/>
    <x:col min="6" max="6" width="14.816406" style="15" customWidth="1"/>
    <x:col min="7" max="7" width="14.269531" style="15" customWidth="1"/>
    <x:col min="8" max="8" width="14.179688" style="15" customWidth="1"/>
    <x:col min="9" max="9" width="12.363281" style="15" customWidth="1"/>
    <x:col min="10" max="10" width="13.632812" style="15" customWidth="1"/>
    <x:col min="11" max="11" width="17.816406" style="15" bestFit="1" customWidth="1"/>
    <x:col min="12" max="12" width="12.179688" style="15" bestFit="1" customWidth="1"/>
    <x:col min="13" max="13" width="12.453125" style="15" customWidth="1"/>
    <x:col min="14" max="16384" width="8.726562" style="2" customWidth="1"/>
  </x:cols>
  <x:sheetData>
    <x:row r="2" spans="1:13" ht="20" customHeight="1" s="4" customFormat="1" x14ac:dyDescent="0.35">
      <x:c r="A2" s="6" t="s">
        <x:v>19</x:v>
      </x:c>
      <x:c r="B2" s="6" t="s">
        <x:v>20</x:v>
      </x:c>
      <x:c r="C2" s="9" t="s">
        <x:v>21</x:v>
      </x:c>
      <x:c r="D2" s="9" t="s">
        <x:v>22</x:v>
      </x:c>
      <x:c r="E2" s="9" t="s">
        <x:v>3</x:v>
      </x:c>
      <x:c r="F2" s="10" t="s">
        <x:v>4</x:v>
      </x:c>
      <x:c r="G2" s="10"/>
      <x:c r="H2" s="10"/>
      <x:c r="I2" s="10"/>
      <x:c r="J2" s="11" t="s">
        <x:v>5</x:v>
      </x:c>
      <x:c r="K2" s="11" t="s">
        <x:v>6</x:v>
      </x:c>
      <x:c r="L2" s="10" t="s">
        <x:v>7</x:v>
      </x:c>
      <x:c r="M2" s="10"/>
    </x:row>
    <x:row r="3" spans="1:13" ht="20" customHeight="1" s="4" customFormat="1" x14ac:dyDescent="0.35">
      <x:c r="A3" s="7"/>
      <x:c r="B3" s="7"/>
      <x:c r="C3" s="12"/>
      <x:c r="D3" s="12"/>
      <x:c r="E3" s="12"/>
      <x:c r="F3" s="10" t="s">
        <x:v>8</x:v>
      </x:c>
      <x:c r="G3" s="10" t="s">
        <x:v>9</x:v>
      </x:c>
      <x:c r="H3" s="10" t="s">
        <x:v>10</x:v>
      </x:c>
      <x:c r="I3" s="10" t="s">
        <x:v>11</x:v>
      </x:c>
      <x:c r="J3" s="11"/>
      <x:c r="K3" s="11"/>
      <x:c r="L3" s="10" t="s">
        <x:v>10</x:v>
      </x:c>
      <x:c r="M3" s="10" t="s">
        <x:v>12</x:v>
      </x:c>
    </x:row>
    <x:row r="4" spans="1:13" ht="20" customHeight="1" s="4" customFormat="1" x14ac:dyDescent="0.35">
      <x:c r="A4" s="7"/>
      <x:c r="B4" s="7" t="s">
        <x:v>13</x:v>
      </x:c>
      <x:c r="C4" s="12">
        <x:f>SUM(C5:C7)</x:f>
      </x:c>
      <x:c r="D4" s="12">
        <x:f>SUM(D5:D7)</x:f>
      </x:c>
      <x:c r="E4" s="12">
        <x:f>SUM(E5:E16)</x:f>
      </x:c>
      <x:c r="F4" s="12">
        <x:f>SUM(F5:F16)</x:f>
      </x:c>
      <x:c r="G4" s="12">
        <x:f>SUM(G5:G16)</x:f>
      </x:c>
      <x:c r="H4" s="12">
        <x:f>SUM(H5:H16)</x:f>
      </x:c>
      <x:c r="I4" s="12">
        <x:f>SUM(I5:I16)</x:f>
      </x:c>
      <x:c r="J4" s="12">
        <x:f>E4-G4</x:f>
      </x:c>
      <x:c r="K4" s="12">
        <x:f>SUM(K5:K16)</x:f>
      </x:c>
      <x:c r="L4" s="12">
        <x:f>SUM(L5:L16)</x:f>
      </x:c>
      <x:c r="M4" s="12">
        <x:f>SUM(M5:M16)</x:f>
      </x:c>
    </x:row>
    <x:row r="5" spans="1:13" ht="27.5" customHeight="1" s="3" customFormat="1" x14ac:dyDescent="0.35">
      <x:c r="A5" s="8">
        <x:v>46023</x:v>
      </x:c>
      <x:c r="B5" s="19" t="s">
        <x:v>23</x:v>
      </x:c>
      <x:c r="C5" s="22">
        <x:v>1000000000</x:v>
      </x:c>
      <x:c r="D5" s="22">
        <x:v>1100000000</x:v>
      </x:c>
      <x:c r="E5" s="14"/>
      <x:c r="F5" s="14"/>
      <x:c r="G5" s="14"/>
      <x:c r="H5" s="14"/>
      <x:c r="I5" s="14"/>
      <x:c r="J5" s="14"/>
      <x:c r="K5" s="14"/>
      <x:c r="L5" s="14"/>
      <x:c r="M5" s="14"/>
    </x:row>
    <x:row r="6" spans="1:13" ht="20" customHeight="1" s="3" customFormat="1" x14ac:dyDescent="0.35">
      <x:c r="A6" s="8">
        <x:v>46027</x:v>
      </x:c>
      <x:c r="B6" s="20"/>
      <x:c r="C6" s="23"/>
      <x:c r="D6" s="23"/>
      <x:c r="E6" s="14">
        <x:v>500000000</x:v>
      </x:c>
      <x:c r="F6" s="14"/>
      <x:c r="G6" s="14"/>
      <x:c r="H6" s="14">
        <x:f>E6</x:f>
      </x:c>
      <x:c r="I6" s="14"/>
      <x:c r="J6" s="14"/>
      <x:c r="K6" s="14">
        <x:f>H6</x:f>
      </x:c>
      <x:c r="L6" s="14">
        <x:f>K6</x:f>
      </x:c>
      <x:c r="M6" s="14"/>
    </x:row>
    <x:row r="7" spans="1:13" ht="20" customHeight="1" s="3" customFormat="1" x14ac:dyDescent="0.35">
      <x:c r="A7" s="8">
        <x:v>46052</x:v>
      </x:c>
      <x:c r="B7" s="20"/>
      <x:c r="C7" s="23"/>
      <x:c r="D7" s="23"/>
      <x:c r="E7" s="14"/>
      <x:c r="F7" s="14">
        <x:v>300000000</x:v>
      </x:c>
      <x:c r="G7" s="14">
        <x:v>150000000</x:v>
      </x:c>
      <x:c r="H7" s="14">
        <x:f>F7-G7</x:f>
      </x:c>
      <x:c r="I7" s="14"/>
      <x:c r="J7" s="14"/>
      <x:c r="K7" s="14">
        <x:f>H7</x:f>
      </x:c>
      <x:c r="L7" s="14">
        <x:f>K7</x:f>
      </x:c>
      <x:c r="M7" s="14"/>
    </x:row>
    <x:row r="8" spans="1:13" ht="20" customHeight="1" x14ac:dyDescent="0.35">
      <x:c r="A8" s="8">
        <x:v>46081</x:v>
      </x:c>
      <x:c r="B8" s="21"/>
      <x:c r="C8" s="24"/>
      <x:c r="D8" s="24"/>
      <x:c r="E8" s="16"/>
      <x:c r="F8" s="14">
        <x:v>300000000</x:v>
      </x:c>
      <x:c r="G8" s="14">
        <x:v>150000000</x:v>
      </x:c>
      <x:c r="H8" s="14">
        <x:f>F8-G8</x:f>
      </x:c>
      <x:c r="I8" s="16"/>
      <x:c r="J8" s="16"/>
      <x:c r="K8" s="14">
        <x:f>H8</x:f>
      </x:c>
      <x:c r="L8" s="14">
        <x:f>K8</x:f>
      </x:c>
      <x:c r="M8" s="16"/>
    </x:row>
    <x:row r="9" spans="1:13" ht="20" customHeight="1" x14ac:dyDescent="0.35">
      <x:c r="A9" s="8">
        <x:v>46112</x:v>
      </x:c>
      <x:c r="B9" s="5"/>
      <x:c r="C9" s="16"/>
      <x:c r="D9" s="16"/>
      <x:c r="E9" s="16"/>
      <x:c r="F9" s="14">
        <x:v>300000000</x:v>
      </x:c>
      <x:c r="G9" s="16">
        <x:v>200000000</x:v>
      </x:c>
      <x:c r="H9" s="16">
        <x:f>F9-G9</x:f>
      </x:c>
      <x:c r="I9" s="16"/>
      <x:c r="J9" s="16"/>
      <x:c r="K9" s="14">
        <x:f>H9</x:f>
      </x:c>
      <x:c r="L9" s="14">
        <x:f>K9</x:f>
      </x:c>
      <x:c r="M9" s="16"/>
    </x:row>
    <x:row r="10" spans="1:13" ht="20" customHeight="1" x14ac:dyDescent="0.35">
      <x:c r="A10" s="8">
        <x:v>46142</x:v>
      </x:c>
      <x:c r="B10" s="5"/>
      <x:c r="C10" s="16"/>
      <x:c r="D10" s="16"/>
      <x:c r="E10" s="16"/>
      <x:c r="F10" s="16">
        <x:v>200000000</x:v>
      </x:c>
      <x:c r="G10" s="16"/>
      <x:c r="H10" s="16">
        <x:f>F10</x:f>
      </x:c>
      <x:c r="I10" s="16"/>
      <x:c r="J10" s="16"/>
      <x:c r="K10" s="16">
        <x:v>200000000</x:v>
      </x:c>
      <x:c r="L10" s="16"/>
      <x:c r="M10" s="16"/>
    </x:row>
    <x:row r="11" spans="1:13" ht="20" customHeight="1" x14ac:dyDescent="0.35">
      <x:c r="A11" s="8"/>
      <x:c r="B11" s="5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spans="1:13" ht="20" customHeight="1" x14ac:dyDescent="0.35">
      <x:c r="A12" s="8"/>
      <x:c r="B12" s="5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spans="1:13" ht="20" customHeight="1" x14ac:dyDescent="0.35">
      <x:c r="A13" s="8"/>
      <x:c r="B13" s="5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spans="1:13" ht="20" customHeight="1" x14ac:dyDescent="0.35">
      <x:c r="A14" s="5"/>
      <x:c r="B14" s="5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spans="1:13" ht="20" customHeight="1" x14ac:dyDescent="0.35">
      <x:c r="A15" s="5"/>
      <x:c r="B15" s="5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spans="1:13" ht="20" customHeight="1" x14ac:dyDescent="0.35">
      <x:c r="A16" s="5"/>
      <x:c r="B16" s="5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spans="1:13" x14ac:dyDescent="0.35">
      <x:c r="A17" s="5"/>
      <x:c r="B17" s="5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spans="1:13" x14ac:dyDescent="0.35">
      <x:c r="A18" s="5"/>
      <x:c r="B18" s="5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</x:sheetData>
  <x:mergeCells count="12">
    <x:mergeCell ref="A2:A3"/>
    <x:mergeCell ref="B2:B3"/>
    <x:mergeCell ref="C2:C3"/>
    <x:mergeCell ref="D2:D3"/>
    <x:mergeCell ref="E2:E3"/>
    <x:mergeCell ref="F2:I2"/>
    <x:mergeCell ref="J2:J3"/>
    <x:mergeCell ref="K2:K3"/>
    <x:mergeCell ref="L2:M2"/>
    <x:mergeCell ref="B5:B8"/>
    <x:mergeCell ref="C5:C8"/>
    <x:mergeCell ref="D5:D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E76EEED-F0EF-4E06-ABEA-DAD5E683C8C9}" mc:Ignorable="x14ac xr xr2 xr3">
  <x:sheetPr>
    <x:outlinePr summaryBelow="1" summaryRight="1"/>
  </x:sheetPr>
  <x:dimension ref="A2:M18"/>
  <x:sheetViews>
    <x:sheetView topLeftCell="C1" workbookViewId="0">
      <x:selection activeCell="E16" sqref="E16"/>
    </x:sheetView>
  </x:sheetViews>
  <x:sheetFormatPr defaultColWidth="8.726562" defaultRowHeight="14" x14ac:dyDescent="0.35"/>
  <x:cols>
    <x:col min="1" max="1" width="11.269531" style="2" customWidth="1"/>
    <x:col min="2" max="2" width="19.542969" style="2" customWidth="1"/>
    <x:col min="3" max="3" width="13.816406" style="15" bestFit="1" customWidth="1"/>
    <x:col min="4" max="4" width="14.269531" style="15" customWidth="1"/>
    <x:col min="5" max="5" width="16.179688" style="15" customWidth="1"/>
    <x:col min="6" max="6" width="14.816406" style="15" customWidth="1"/>
    <x:col min="7" max="7" width="14.269531" style="15" customWidth="1"/>
    <x:col min="8" max="8" width="14.179688" style="15" customWidth="1"/>
    <x:col min="9" max="9" width="12.363281" style="15" customWidth="1"/>
    <x:col min="10" max="10" width="13.632812" style="15" customWidth="1"/>
    <x:col min="11" max="11" width="17.816406" style="15" bestFit="1" customWidth="1"/>
    <x:col min="12" max="12" width="12.179688" style="15" bestFit="1" customWidth="1"/>
    <x:col min="13" max="13" width="12.453125" style="15" customWidth="1"/>
    <x:col min="14" max="16384" width="8.726562" style="2" customWidth="1"/>
  </x:cols>
  <x:sheetData>
    <x:row r="2" spans="1:13" ht="20" customHeight="1" s="4" customFormat="1" x14ac:dyDescent="0.35">
      <x:c r="A2" s="6" t="s">
        <x:v>19</x:v>
      </x:c>
      <x:c r="B2" s="6" t="s">
        <x:v>20</x:v>
      </x:c>
      <x:c r="C2" s="9" t="s">
        <x:v>21</x:v>
      </x:c>
      <x:c r="D2" s="9" t="s">
        <x:v>22</x:v>
      </x:c>
      <x:c r="E2" s="9" t="s">
        <x:v>3</x:v>
      </x:c>
      <x:c r="F2" s="10" t="s">
        <x:v>4</x:v>
      </x:c>
      <x:c r="G2" s="10"/>
      <x:c r="H2" s="10"/>
      <x:c r="I2" s="10"/>
      <x:c r="J2" s="11" t="s">
        <x:v>5</x:v>
      </x:c>
      <x:c r="K2" s="11" t="s">
        <x:v>6</x:v>
      </x:c>
      <x:c r="L2" s="10" t="s">
        <x:v>7</x:v>
      </x:c>
      <x:c r="M2" s="10"/>
    </x:row>
    <x:row r="3" spans="1:13" ht="20" customHeight="1" s="4" customFormat="1" x14ac:dyDescent="0.35">
      <x:c r="A3" s="7"/>
      <x:c r="B3" s="7"/>
      <x:c r="C3" s="12"/>
      <x:c r="D3" s="12"/>
      <x:c r="E3" s="12"/>
      <x:c r="F3" s="10" t="s">
        <x:v>8</x:v>
      </x:c>
      <x:c r="G3" s="10" t="s">
        <x:v>9</x:v>
      </x:c>
      <x:c r="H3" s="10" t="s">
        <x:v>10</x:v>
      </x:c>
      <x:c r="I3" s="10" t="s">
        <x:v>11</x:v>
      </x:c>
      <x:c r="J3" s="11"/>
      <x:c r="K3" s="11"/>
      <x:c r="L3" s="10" t="s">
        <x:v>10</x:v>
      </x:c>
      <x:c r="M3" s="10" t="s">
        <x:v>12</x:v>
      </x:c>
    </x:row>
    <x:row r="4" spans="1:13" ht="20" customHeight="1" s="4" customFormat="1" x14ac:dyDescent="0.35">
      <x:c r="A4" s="7"/>
      <x:c r="B4" s="7" t="s">
        <x:v>13</x:v>
      </x:c>
      <x:c r="C4" s="12">
        <x:f>SUM(C5:C7)</x:f>
      </x:c>
      <x:c r="D4" s="12">
        <x:f>SUM(D5:D7)</x:f>
      </x:c>
      <x:c r="E4" s="12">
        <x:f>SUM(E5:E16)</x:f>
      </x:c>
      <x:c r="F4" s="12">
        <x:f>SUM(F5:F16)</x:f>
      </x:c>
      <x:c r="G4" s="12">
        <x:f>SUM(G5:G16)</x:f>
      </x:c>
      <x:c r="H4" s="12">
        <x:f>SUM(H5:H16)</x:f>
      </x:c>
      <x:c r="I4" s="12">
        <x:f>SUM(I5:I16)</x:f>
      </x:c>
      <x:c r="J4" s="12">
        <x:f>E4-G4</x:f>
      </x:c>
      <x:c r="K4" s="12">
        <x:f>SUM(K5:K16)</x:f>
      </x:c>
      <x:c r="L4" s="12">
        <x:f>SUM(L5:L16)</x:f>
      </x:c>
      <x:c r="M4" s="12">
        <x:f>SUM(M5:M16)</x:f>
      </x:c>
    </x:row>
    <x:row r="5" spans="1:13" ht="27.5" customHeight="1" s="3" customFormat="1" x14ac:dyDescent="0.35">
      <x:c r="A5" s="8">
        <x:v>46023</x:v>
      </x:c>
      <x:c r="B5" s="19" t="s">
        <x:v>23</x:v>
      </x:c>
      <x:c r="C5" s="22">
        <x:v>1000000000</x:v>
      </x:c>
      <x:c r="D5" s="22">
        <x:v>1100000000</x:v>
      </x:c>
      <x:c r="E5" s="14"/>
      <x:c r="F5" s="14"/>
      <x:c r="G5" s="14"/>
      <x:c r="H5" s="14"/>
      <x:c r="I5" s="14"/>
      <x:c r="J5" s="14"/>
      <x:c r="K5" s="14"/>
      <x:c r="L5" s="14"/>
      <x:c r="M5" s="14"/>
    </x:row>
    <x:row r="6" spans="1:13" ht="20" customHeight="1" s="3" customFormat="1" x14ac:dyDescent="0.35">
      <x:c r="A6" s="8">
        <x:v>46027</x:v>
      </x:c>
      <x:c r="B6" s="20"/>
      <x:c r="C6" s="23"/>
      <x:c r="D6" s="23"/>
      <x:c r="E6" s="14">
        <x:v>500000000</x:v>
      </x:c>
      <x:c r="F6" s="14"/>
      <x:c r="G6" s="14"/>
      <x:c r="H6" s="14">
        <x:f>E6</x:f>
      </x:c>
      <x:c r="I6" s="14"/>
      <x:c r="J6" s="14"/>
      <x:c r="K6" s="14">
        <x:f>H6</x:f>
      </x:c>
      <x:c r="L6" s="14">
        <x:f>K6</x:f>
      </x:c>
      <x:c r="M6" s="14"/>
    </x:row>
    <x:row r="7" spans="1:13" ht="20" customHeight="1" s="3" customFormat="1" x14ac:dyDescent="0.35">
      <x:c r="A7" s="8">
        <x:v>46052</x:v>
      </x:c>
      <x:c r="B7" s="20"/>
      <x:c r="C7" s="23"/>
      <x:c r="D7" s="23"/>
      <x:c r="E7" s="14"/>
      <x:c r="F7" s="14">
        <x:v>300000000</x:v>
      </x:c>
      <x:c r="G7" s="14">
        <x:v>150000000</x:v>
      </x:c>
      <x:c r="H7" s="14">
        <x:f>F7-G7</x:f>
      </x:c>
      <x:c r="I7" s="14"/>
      <x:c r="J7" s="14"/>
      <x:c r="K7" s="14">
        <x:f>H7</x:f>
      </x:c>
      <x:c r="L7" s="14">
        <x:f>K7</x:f>
      </x:c>
      <x:c r="M7" s="14"/>
    </x:row>
    <x:row r="8" spans="1:13" ht="20" customHeight="1" x14ac:dyDescent="0.35">
      <x:c r="A8" s="8">
        <x:v>46081</x:v>
      </x:c>
      <x:c r="B8" s="21"/>
      <x:c r="C8" s="24"/>
      <x:c r="D8" s="24"/>
      <x:c r="E8" s="16"/>
      <x:c r="F8" s="14">
        <x:v>300000000</x:v>
      </x:c>
      <x:c r="G8" s="14">
        <x:v>150000000</x:v>
      </x:c>
      <x:c r="H8" s="14">
        <x:f>F8-G8</x:f>
      </x:c>
      <x:c r="I8" s="16"/>
      <x:c r="J8" s="16"/>
      <x:c r="K8" s="14">
        <x:f>H8</x:f>
      </x:c>
      <x:c r="L8" s="14">
        <x:f>K8</x:f>
      </x:c>
      <x:c r="M8" s="16"/>
    </x:row>
    <x:row r="9" spans="1:13" ht="20" customHeight="1" x14ac:dyDescent="0.35">
      <x:c r="A9" s="8">
        <x:v>46112</x:v>
      </x:c>
      <x:c r="B9" s="5"/>
      <x:c r="C9" s="16"/>
      <x:c r="D9" s="16"/>
      <x:c r="E9" s="16"/>
      <x:c r="F9" s="14">
        <x:v>300000000</x:v>
      </x:c>
      <x:c r="G9" s="16">
        <x:v>200000000</x:v>
      </x:c>
      <x:c r="H9" s="16">
        <x:f>F9-G9</x:f>
      </x:c>
      <x:c r="I9" s="16"/>
      <x:c r="J9" s="16"/>
      <x:c r="K9" s="14">
        <x:f>H9</x:f>
      </x:c>
      <x:c r="L9" s="14">
        <x:f>K9</x:f>
      </x:c>
      <x:c r="M9" s="16"/>
    </x:row>
    <x:row r="10" spans="1:13" ht="20" customHeight="1" x14ac:dyDescent="0.35">
      <x:c r="A10" s="8">
        <x:v>46142</x:v>
      </x:c>
      <x:c r="B10" s="5"/>
      <x:c r="C10" s="16"/>
      <x:c r="D10" s="16"/>
      <x:c r="E10" s="16"/>
      <x:c r="F10" s="16">
        <x:v>200000000</x:v>
      </x:c>
      <x:c r="G10" s="16"/>
      <x:c r="H10" s="16">
        <x:f>F10</x:f>
      </x:c>
      <x:c r="I10" s="16"/>
      <x:c r="J10" s="16"/>
      <x:c r="K10" s="16">
        <x:v>200000000</x:v>
      </x:c>
      <x:c r="L10" s="16"/>
      <x:c r="M10" s="16"/>
    </x:row>
    <x:row r="11" spans="1:13" ht="20" customHeight="1" x14ac:dyDescent="0.35">
      <x:c r="A11" s="8"/>
      <x:c r="B11" s="5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spans="1:13" ht="20" customHeight="1" x14ac:dyDescent="0.35">
      <x:c r="A12" s="8"/>
      <x:c r="B12" s="5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spans="1:13" ht="20" customHeight="1" x14ac:dyDescent="0.35">
      <x:c r="A13" s="8"/>
      <x:c r="B13" s="5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spans="1:13" ht="20" customHeight="1" x14ac:dyDescent="0.35">
      <x:c r="A14" s="5"/>
      <x:c r="B14" s="5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spans="1:13" ht="20" customHeight="1" x14ac:dyDescent="0.35">
      <x:c r="A15" s="5"/>
      <x:c r="B15" s="5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spans="1:13" ht="20" customHeight="1" x14ac:dyDescent="0.35">
      <x:c r="A16" s="5"/>
      <x:c r="B16" s="5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spans="1:13" x14ac:dyDescent="0.35">
      <x:c r="A17" s="5"/>
      <x:c r="B17" s="5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spans="1:13" x14ac:dyDescent="0.35">
      <x:c r="A18" s="5"/>
      <x:c r="B18" s="5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</x:sheetData>
  <x:mergeCells count="12">
    <x:mergeCell ref="A2:A3"/>
    <x:mergeCell ref="B2:B3"/>
    <x:mergeCell ref="C2:C3"/>
    <x:mergeCell ref="D2:D3"/>
    <x:mergeCell ref="E2:E3"/>
    <x:mergeCell ref="F2:I2"/>
    <x:mergeCell ref="J2:J3"/>
    <x:mergeCell ref="K2:K3"/>
    <x:mergeCell ref="L2:M2"/>
    <x:mergeCell ref="B5:B8"/>
    <x:mergeCell ref="C5:C8"/>
    <x:mergeCell ref="D5:D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D75B9A1-8042-4347-A29C-7C1C06317369}" mc:Ignorable="x14ac xr xr2 xr3">
  <x:sheetPr>
    <x:outlinePr summaryBelow="1" summaryRight="1"/>
  </x:sheetPr>
  <x:dimension ref="A2:M18"/>
  <x:sheetViews>
    <x:sheetView topLeftCell="C1" workbookViewId="0">
      <x:selection activeCell="E18" sqref="E18"/>
    </x:sheetView>
  </x:sheetViews>
  <x:sheetFormatPr defaultColWidth="8.726562" defaultRowHeight="14" x14ac:dyDescent="0.35"/>
  <x:cols>
    <x:col min="1" max="1" width="11.269531" style="2" customWidth="1"/>
    <x:col min="2" max="2" width="19.542969" style="2" customWidth="1"/>
    <x:col min="3" max="3" width="13.816406" style="15" bestFit="1" customWidth="1"/>
    <x:col min="4" max="4" width="14.269531" style="15" customWidth="1"/>
    <x:col min="5" max="5" width="16.179688" style="15" customWidth="1"/>
    <x:col min="6" max="6" width="14.816406" style="15" customWidth="1"/>
    <x:col min="7" max="7" width="14.269531" style="15" customWidth="1"/>
    <x:col min="8" max="8" width="14.179688" style="15" customWidth="1"/>
    <x:col min="9" max="9" width="12.363281" style="15" customWidth="1"/>
    <x:col min="10" max="10" width="13.632812" style="15" customWidth="1"/>
    <x:col min="11" max="11" width="17.816406" style="15" bestFit="1" customWidth="1"/>
    <x:col min="12" max="12" width="12.179688" style="15" bestFit="1" customWidth="1"/>
    <x:col min="13" max="13" width="12.453125" style="15" customWidth="1"/>
    <x:col min="14" max="16384" width="8.726562" style="2" customWidth="1"/>
  </x:cols>
  <x:sheetData>
    <x:row r="2" spans="1:13" ht="20" customHeight="1" s="4" customFormat="1" x14ac:dyDescent="0.35">
      <x:c r="A2" s="6" t="s">
        <x:v>19</x:v>
      </x:c>
      <x:c r="B2" s="6" t="s">
        <x:v>20</x:v>
      </x:c>
      <x:c r="C2" s="9" t="s">
        <x:v>21</x:v>
      </x:c>
      <x:c r="D2" s="9" t="s">
        <x:v>22</x:v>
      </x:c>
      <x:c r="E2" s="9" t="s">
        <x:v>3</x:v>
      </x:c>
      <x:c r="F2" s="10" t="s">
        <x:v>4</x:v>
      </x:c>
      <x:c r="G2" s="10"/>
      <x:c r="H2" s="10"/>
      <x:c r="I2" s="10"/>
      <x:c r="J2" s="11" t="s">
        <x:v>5</x:v>
      </x:c>
      <x:c r="K2" s="11" t="s">
        <x:v>6</x:v>
      </x:c>
      <x:c r="L2" s="10" t="s">
        <x:v>7</x:v>
      </x:c>
      <x:c r="M2" s="10"/>
    </x:row>
    <x:row r="3" spans="1:13" ht="20" customHeight="1" s="4" customFormat="1" x14ac:dyDescent="0.35">
      <x:c r="A3" s="7"/>
      <x:c r="B3" s="7"/>
      <x:c r="C3" s="12"/>
      <x:c r="D3" s="12"/>
      <x:c r="E3" s="12"/>
      <x:c r="F3" s="10" t="s">
        <x:v>8</x:v>
      </x:c>
      <x:c r="G3" s="10" t="s">
        <x:v>9</x:v>
      </x:c>
      <x:c r="H3" s="10" t="s">
        <x:v>10</x:v>
      </x:c>
      <x:c r="I3" s="10" t="s">
        <x:v>11</x:v>
      </x:c>
      <x:c r="J3" s="11"/>
      <x:c r="K3" s="11"/>
      <x:c r="L3" s="10" t="s">
        <x:v>10</x:v>
      </x:c>
      <x:c r="M3" s="10" t="s">
        <x:v>12</x:v>
      </x:c>
    </x:row>
    <x:row r="4" spans="1:13" ht="20" customHeight="1" s="4" customFormat="1" x14ac:dyDescent="0.35">
      <x:c r="A4" s="7"/>
      <x:c r="B4" s="7" t="s">
        <x:v>13</x:v>
      </x:c>
      <x:c r="C4" s="12">
        <x:f>SUM(C5:C7)</x:f>
      </x:c>
      <x:c r="D4" s="12">
        <x:f>SUM(D5:D7)</x:f>
      </x:c>
      <x:c r="E4" s="12">
        <x:f>SUM(E5:E16)</x:f>
      </x:c>
      <x:c r="F4" s="12">
        <x:f>SUM(F5:F16)</x:f>
      </x:c>
      <x:c r="G4" s="12">
        <x:f>SUM(G5:G16)</x:f>
      </x:c>
      <x:c r="H4" s="12">
        <x:f>SUM(H5:H16)</x:f>
      </x:c>
      <x:c r="I4" s="12">
        <x:f>SUM(I5:I16)</x:f>
      </x:c>
      <x:c r="J4" s="12">
        <x:f>E4-G4</x:f>
      </x:c>
      <x:c r="K4" s="12">
        <x:f>SUM(K5:K16)</x:f>
      </x:c>
      <x:c r="L4" s="12">
        <x:f>SUM(L5:L16)</x:f>
      </x:c>
      <x:c r="M4" s="12">
        <x:f>SUM(M5:M16)</x:f>
      </x:c>
    </x:row>
    <x:row r="5" spans="1:13" ht="27.5" customHeight="1" s="3" customFormat="1" x14ac:dyDescent="0.35">
      <x:c r="A5" s="8">
        <x:v>46023</x:v>
      </x:c>
      <x:c r="B5" s="19" t="s">
        <x:v>23</x:v>
      </x:c>
      <x:c r="C5" s="22">
        <x:v>1000000000</x:v>
      </x:c>
      <x:c r="D5" s="22">
        <x:v>1100000000</x:v>
      </x:c>
      <x:c r="E5" s="14"/>
      <x:c r="F5" s="14"/>
      <x:c r="G5" s="14"/>
      <x:c r="H5" s="14"/>
      <x:c r="I5" s="14"/>
      <x:c r="J5" s="14"/>
      <x:c r="K5" s="14"/>
      <x:c r="L5" s="14"/>
      <x:c r="M5" s="14"/>
    </x:row>
    <x:row r="6" spans="1:13" ht="20" customHeight="1" s="3" customFormat="1" x14ac:dyDescent="0.35">
      <x:c r="A6" s="8">
        <x:v>46027</x:v>
      </x:c>
      <x:c r="B6" s="20"/>
      <x:c r="C6" s="23"/>
      <x:c r="D6" s="23"/>
      <x:c r="E6" s="14">
        <x:v>500000000</x:v>
      </x:c>
      <x:c r="F6" s="14"/>
      <x:c r="G6" s="14"/>
      <x:c r="H6" s="14">
        <x:f>E6</x:f>
      </x:c>
      <x:c r="I6" s="14"/>
      <x:c r="J6" s="14"/>
      <x:c r="K6" s="14">
        <x:f>H6</x:f>
      </x:c>
      <x:c r="L6" s="14">
        <x:f>K6</x:f>
      </x:c>
      <x:c r="M6" s="14"/>
    </x:row>
    <x:row r="7" spans="1:13" ht="20" customHeight="1" s="3" customFormat="1" x14ac:dyDescent="0.35">
      <x:c r="A7" s="8">
        <x:v>46052</x:v>
      </x:c>
      <x:c r="B7" s="20"/>
      <x:c r="C7" s="23"/>
      <x:c r="D7" s="23"/>
      <x:c r="E7" s="14"/>
      <x:c r="F7" s="14">
        <x:v>300000000</x:v>
      </x:c>
      <x:c r="G7" s="14">
        <x:v>150000000</x:v>
      </x:c>
      <x:c r="H7" s="14">
        <x:f>F7-G7</x:f>
      </x:c>
      <x:c r="I7" s="14"/>
      <x:c r="J7" s="14"/>
      <x:c r="K7" s="14">
        <x:f>H7</x:f>
      </x:c>
      <x:c r="L7" s="14">
        <x:f>K7</x:f>
      </x:c>
      <x:c r="M7" s="14"/>
    </x:row>
    <x:row r="8" spans="1:13" ht="20" customHeight="1" x14ac:dyDescent="0.35">
      <x:c r="A8" s="8">
        <x:v>46081</x:v>
      </x:c>
      <x:c r="B8" s="21"/>
      <x:c r="C8" s="24"/>
      <x:c r="D8" s="24"/>
      <x:c r="E8" s="16"/>
      <x:c r="F8" s="14">
        <x:v>300000000</x:v>
      </x:c>
      <x:c r="G8" s="14">
        <x:v>150000000</x:v>
      </x:c>
      <x:c r="H8" s="14">
        <x:f>F8-G8</x:f>
      </x:c>
      <x:c r="I8" s="16"/>
      <x:c r="J8" s="16"/>
      <x:c r="K8" s="14">
        <x:f>H8</x:f>
      </x:c>
      <x:c r="L8" s="14">
        <x:f>K8</x:f>
      </x:c>
      <x:c r="M8" s="16"/>
    </x:row>
    <x:row r="9" spans="1:13" ht="20" customHeight="1" x14ac:dyDescent="0.35">
      <x:c r="A9" s="8">
        <x:v>46112</x:v>
      </x:c>
      <x:c r="B9" s="5"/>
      <x:c r="C9" s="16"/>
      <x:c r="D9" s="16"/>
      <x:c r="E9" s="16"/>
      <x:c r="F9" s="14">
        <x:v>300000000</x:v>
      </x:c>
      <x:c r="G9" s="16">
        <x:v>200000000</x:v>
      </x:c>
      <x:c r="H9" s="16">
        <x:f>F9-G9</x:f>
      </x:c>
      <x:c r="I9" s="16"/>
      <x:c r="J9" s="16"/>
      <x:c r="K9" s="14">
        <x:f>H9</x:f>
      </x:c>
      <x:c r="L9" s="14">
        <x:f>K9</x:f>
      </x:c>
      <x:c r="M9" s="16"/>
    </x:row>
    <x:row r="10" spans="1:13" ht="20" customHeight="1" x14ac:dyDescent="0.35">
      <x:c r="A10" s="8">
        <x:v>46142</x:v>
      </x:c>
      <x:c r="B10" s="5"/>
      <x:c r="C10" s="16"/>
      <x:c r="D10" s="16"/>
      <x:c r="E10" s="16"/>
      <x:c r="F10" s="16">
        <x:v>200000000</x:v>
      </x:c>
      <x:c r="G10" s="16"/>
      <x:c r="H10" s="16">
        <x:f>F10</x:f>
      </x:c>
      <x:c r="I10" s="16"/>
      <x:c r="J10" s="16"/>
      <x:c r="K10" s="16">
        <x:v>200000000</x:v>
      </x:c>
      <x:c r="L10" s="16"/>
      <x:c r="M10" s="16"/>
    </x:row>
    <x:row r="11" spans="1:13" ht="20" customHeight="1" x14ac:dyDescent="0.35">
      <x:c r="A11" s="8"/>
      <x:c r="B11" s="5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spans="1:13" ht="20" customHeight="1" x14ac:dyDescent="0.35">
      <x:c r="A12" s="8"/>
      <x:c r="B12" s="5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spans="1:13" ht="20" customHeight="1" x14ac:dyDescent="0.35">
      <x:c r="A13" s="8"/>
      <x:c r="B13" s="5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spans="1:13" ht="20" customHeight="1" x14ac:dyDescent="0.35">
      <x:c r="A14" s="5"/>
      <x:c r="B14" s="5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spans="1:13" ht="20" customHeight="1" x14ac:dyDescent="0.35">
      <x:c r="A15" s="5"/>
      <x:c r="B15" s="5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spans="1:13" ht="20" customHeight="1" x14ac:dyDescent="0.35">
      <x:c r="A16" s="5"/>
      <x:c r="B16" s="5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spans="1:13" x14ac:dyDescent="0.35">
      <x:c r="A17" s="5"/>
      <x:c r="B17" s="5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spans="1:13" x14ac:dyDescent="0.35">
      <x:c r="A18" s="5"/>
      <x:c r="B18" s="5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</x:sheetData>
  <x:mergeCells count="12">
    <x:mergeCell ref="A2:A3"/>
    <x:mergeCell ref="B2:B3"/>
    <x:mergeCell ref="C2:C3"/>
    <x:mergeCell ref="D2:D3"/>
    <x:mergeCell ref="E2:E3"/>
    <x:mergeCell ref="F2:I2"/>
    <x:mergeCell ref="J2:J3"/>
    <x:mergeCell ref="K2:K3"/>
    <x:mergeCell ref="L2:M2"/>
    <x:mergeCell ref="B5:B8"/>
    <x:mergeCell ref="C5:C8"/>
    <x:mergeCell ref="D5:D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A04797-976E-455B-AF6B-5AA3DAFE0ADF}" mc:Ignorable="x14ac xr xr2 xr3">
  <x:sheetPr>
    <x:outlinePr summaryBelow="1" summaryRight="1"/>
  </x:sheetPr>
  <x:dimension ref="A2:M18"/>
  <x:sheetViews>
    <x:sheetView topLeftCell="C1" workbookViewId="0">
      <x:selection activeCell="F16" sqref="F16"/>
    </x:sheetView>
  </x:sheetViews>
  <x:sheetFormatPr defaultColWidth="8.726562" defaultRowHeight="14" x14ac:dyDescent="0.35"/>
  <x:cols>
    <x:col min="1" max="1" width="11.269531" style="2" customWidth="1"/>
    <x:col min="2" max="2" width="19.542969" style="2" customWidth="1"/>
    <x:col min="3" max="3" width="13.816406" style="15" bestFit="1" customWidth="1"/>
    <x:col min="4" max="4" width="14.269531" style="15" customWidth="1"/>
    <x:col min="5" max="5" width="16.179688" style="15" customWidth="1"/>
    <x:col min="6" max="6" width="14.816406" style="15" customWidth="1"/>
    <x:col min="7" max="7" width="14.269531" style="15" customWidth="1"/>
    <x:col min="8" max="8" width="14.179688" style="15" customWidth="1"/>
    <x:col min="9" max="9" width="12.363281" style="15" customWidth="1"/>
    <x:col min="10" max="10" width="13.632812" style="15" customWidth="1"/>
    <x:col min="11" max="11" width="17.816406" style="15" bestFit="1" customWidth="1"/>
    <x:col min="12" max="12" width="12.179688" style="15" bestFit="1" customWidth="1"/>
    <x:col min="13" max="13" width="12.453125" style="15" customWidth="1"/>
    <x:col min="14" max="16384" width="8.726562" style="2" customWidth="1"/>
  </x:cols>
  <x:sheetData>
    <x:row r="2" spans="1:13" ht="20" customHeight="1" s="4" customFormat="1" x14ac:dyDescent="0.35">
      <x:c r="A2" s="6" t="s">
        <x:v>19</x:v>
      </x:c>
      <x:c r="B2" s="6" t="s">
        <x:v>20</x:v>
      </x:c>
      <x:c r="C2" s="9" t="s">
        <x:v>21</x:v>
      </x:c>
      <x:c r="D2" s="9" t="s">
        <x:v>22</x:v>
      </x:c>
      <x:c r="E2" s="9" t="s">
        <x:v>3</x:v>
      </x:c>
      <x:c r="F2" s="10" t="s">
        <x:v>4</x:v>
      </x:c>
      <x:c r="G2" s="10"/>
      <x:c r="H2" s="10"/>
      <x:c r="I2" s="10"/>
      <x:c r="J2" s="11" t="s">
        <x:v>5</x:v>
      </x:c>
      <x:c r="K2" s="11" t="s">
        <x:v>6</x:v>
      </x:c>
      <x:c r="L2" s="10" t="s">
        <x:v>7</x:v>
      </x:c>
      <x:c r="M2" s="10"/>
    </x:row>
    <x:row r="3" spans="1:13" ht="20" customHeight="1" s="4" customFormat="1" x14ac:dyDescent="0.35">
      <x:c r="A3" s="7"/>
      <x:c r="B3" s="7"/>
      <x:c r="C3" s="12"/>
      <x:c r="D3" s="12"/>
      <x:c r="E3" s="12"/>
      <x:c r="F3" s="10" t="s">
        <x:v>8</x:v>
      </x:c>
      <x:c r="G3" s="10" t="s">
        <x:v>9</x:v>
      </x:c>
      <x:c r="H3" s="10" t="s">
        <x:v>10</x:v>
      </x:c>
      <x:c r="I3" s="10" t="s">
        <x:v>11</x:v>
      </x:c>
      <x:c r="J3" s="11"/>
      <x:c r="K3" s="11"/>
      <x:c r="L3" s="10" t="s">
        <x:v>10</x:v>
      </x:c>
      <x:c r="M3" s="10" t="s">
        <x:v>12</x:v>
      </x:c>
    </x:row>
    <x:row r="4" spans="1:13" ht="20" customHeight="1" s="4" customFormat="1" x14ac:dyDescent="0.35">
      <x:c r="A4" s="7"/>
      <x:c r="B4" s="7" t="s">
        <x:v>13</x:v>
      </x:c>
      <x:c r="C4" s="12">
        <x:f>SUM(C5:C7)</x:f>
      </x:c>
      <x:c r="D4" s="12">
        <x:f>SUM(D5:D7)</x:f>
      </x:c>
      <x:c r="E4" s="12">
        <x:f>SUM(E5:E16)</x:f>
      </x:c>
      <x:c r="F4" s="12">
        <x:f>SUM(F5:F16)</x:f>
      </x:c>
      <x:c r="G4" s="12">
        <x:f>SUM(G5:G16)</x:f>
      </x:c>
      <x:c r="H4" s="12">
        <x:f>SUM(H5:H16)</x:f>
      </x:c>
      <x:c r="I4" s="12">
        <x:f>SUM(I5:I16)</x:f>
      </x:c>
      <x:c r="J4" s="12">
        <x:f>E4-G4</x:f>
      </x:c>
      <x:c r="K4" s="12">
        <x:f>SUM(K5:K16)</x:f>
      </x:c>
      <x:c r="L4" s="12">
        <x:f>SUM(L5:L16)</x:f>
      </x:c>
      <x:c r="M4" s="12">
        <x:f>SUM(M5:M16)</x:f>
      </x:c>
    </x:row>
    <x:row r="5" spans="1:13" ht="27.5" customHeight="1" s="3" customFormat="1" x14ac:dyDescent="0.35">
      <x:c r="A5" s="8">
        <x:v>46023</x:v>
      </x:c>
      <x:c r="B5" s="19" t="s">
        <x:v>23</x:v>
      </x:c>
      <x:c r="C5" s="22">
        <x:v>1000000000</x:v>
      </x:c>
      <x:c r="D5" s="22">
        <x:v>1100000000</x:v>
      </x:c>
      <x:c r="E5" s="14"/>
      <x:c r="F5" s="14"/>
      <x:c r="G5" s="14"/>
      <x:c r="H5" s="14"/>
      <x:c r="I5" s="14"/>
      <x:c r="J5" s="14"/>
      <x:c r="K5" s="14"/>
      <x:c r="L5" s="14"/>
      <x:c r="M5" s="14"/>
    </x:row>
    <x:row r="6" spans="1:13" ht="20" customHeight="1" s="3" customFormat="1" x14ac:dyDescent="0.35">
      <x:c r="A6" s="8">
        <x:v>46027</x:v>
      </x:c>
      <x:c r="B6" s="20"/>
      <x:c r="C6" s="23"/>
      <x:c r="D6" s="23"/>
      <x:c r="E6" s="14">
        <x:v>500000000</x:v>
      </x:c>
      <x:c r="F6" s="14"/>
      <x:c r="G6" s="14"/>
      <x:c r="H6" s="14">
        <x:f>E6</x:f>
      </x:c>
      <x:c r="I6" s="14"/>
      <x:c r="J6" s="14"/>
      <x:c r="K6" s="14">
        <x:f>H6</x:f>
      </x:c>
      <x:c r="L6" s="14">
        <x:f>K6</x:f>
      </x:c>
      <x:c r="M6" s="14"/>
    </x:row>
    <x:row r="7" spans="1:13" ht="20" customHeight="1" s="3" customFormat="1" x14ac:dyDescent="0.35">
      <x:c r="A7" s="8">
        <x:v>46052</x:v>
      </x:c>
      <x:c r="B7" s="20"/>
      <x:c r="C7" s="23"/>
      <x:c r="D7" s="23"/>
      <x:c r="E7" s="14"/>
      <x:c r="F7" s="14">
        <x:v>300000000</x:v>
      </x:c>
      <x:c r="G7" s="14">
        <x:v>150000000</x:v>
      </x:c>
      <x:c r="H7" s="14">
        <x:f>F7-G7</x:f>
      </x:c>
      <x:c r="I7" s="14"/>
      <x:c r="J7" s="14"/>
      <x:c r="K7" s="14">
        <x:f>H7</x:f>
      </x:c>
      <x:c r="L7" s="14">
        <x:f>K7</x:f>
      </x:c>
      <x:c r="M7" s="14"/>
    </x:row>
    <x:row r="8" spans="1:13" ht="20" customHeight="1" x14ac:dyDescent="0.35">
      <x:c r="A8" s="8">
        <x:v>46081</x:v>
      </x:c>
      <x:c r="B8" s="21"/>
      <x:c r="C8" s="24"/>
      <x:c r="D8" s="24"/>
      <x:c r="E8" s="16"/>
      <x:c r="F8" s="14">
        <x:v>300000000</x:v>
      </x:c>
      <x:c r="G8" s="14">
        <x:v>150000000</x:v>
      </x:c>
      <x:c r="H8" s="14">
        <x:f>F8-G8</x:f>
      </x:c>
      <x:c r="I8" s="16"/>
      <x:c r="J8" s="16"/>
      <x:c r="K8" s="14">
        <x:f>H8</x:f>
      </x:c>
      <x:c r="L8" s="14">
        <x:f>K8</x:f>
      </x:c>
      <x:c r="M8" s="16"/>
    </x:row>
    <x:row r="9" spans="1:13" ht="20" customHeight="1" x14ac:dyDescent="0.35">
      <x:c r="A9" s="8">
        <x:v>46112</x:v>
      </x:c>
      <x:c r="B9" s="5"/>
      <x:c r="C9" s="16"/>
      <x:c r="D9" s="16"/>
      <x:c r="E9" s="16"/>
      <x:c r="F9" s="14">
        <x:v>300000000</x:v>
      </x:c>
      <x:c r="G9" s="16">
        <x:v>200000000</x:v>
      </x:c>
      <x:c r="H9" s="16">
        <x:f>F9-G9</x:f>
      </x:c>
      <x:c r="I9" s="16"/>
      <x:c r="J9" s="16"/>
      <x:c r="K9" s="14">
        <x:f>H9</x:f>
      </x:c>
      <x:c r="L9" s="14">
        <x:f>K9</x:f>
      </x:c>
      <x:c r="M9" s="16"/>
    </x:row>
    <x:row r="10" spans="1:13" ht="20" customHeight="1" x14ac:dyDescent="0.35">
      <x:c r="A10" s="8">
        <x:v>46142</x:v>
      </x:c>
      <x:c r="B10" s="5"/>
      <x:c r="C10" s="16"/>
      <x:c r="D10" s="16"/>
      <x:c r="E10" s="16"/>
      <x:c r="F10" s="16">
        <x:v>200000000</x:v>
      </x:c>
      <x:c r="G10" s="16"/>
      <x:c r="H10" s="16">
        <x:f>F10</x:f>
      </x:c>
      <x:c r="I10" s="16"/>
      <x:c r="J10" s="16"/>
      <x:c r="K10" s="16">
        <x:v>200000000</x:v>
      </x:c>
      <x:c r="L10" s="16"/>
      <x:c r="M10" s="16"/>
    </x:row>
    <x:row r="11" spans="1:13" ht="20" customHeight="1" x14ac:dyDescent="0.35">
      <x:c r="A11" s="8"/>
      <x:c r="B11" s="5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spans="1:13" ht="20" customHeight="1" x14ac:dyDescent="0.35">
      <x:c r="A12" s="8"/>
      <x:c r="B12" s="5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spans="1:13" ht="20" customHeight="1" x14ac:dyDescent="0.35">
      <x:c r="A13" s="8"/>
      <x:c r="B13" s="5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spans="1:13" ht="20" customHeight="1" x14ac:dyDescent="0.35">
      <x:c r="A14" s="5"/>
      <x:c r="B14" s="5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spans="1:13" ht="20" customHeight="1" x14ac:dyDescent="0.35">
      <x:c r="A15" s="5"/>
      <x:c r="B15" s="5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spans="1:13" ht="20" customHeight="1" x14ac:dyDescent="0.35">
      <x:c r="A16" s="5"/>
      <x:c r="B16" s="5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spans="1:13" x14ac:dyDescent="0.35">
      <x:c r="A17" s="5"/>
      <x:c r="B17" s="5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spans="1:13" x14ac:dyDescent="0.35">
      <x:c r="A18" s="5"/>
      <x:c r="B18" s="5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</x:sheetData>
  <x:mergeCells count="12">
    <x:mergeCell ref="A2:A3"/>
    <x:mergeCell ref="B2:B3"/>
    <x:mergeCell ref="C2:C3"/>
    <x:mergeCell ref="D2:D3"/>
    <x:mergeCell ref="E2:E3"/>
    <x:mergeCell ref="F2:I2"/>
    <x:mergeCell ref="J2:J3"/>
    <x:mergeCell ref="K2:K3"/>
    <x:mergeCell ref="L2:M2"/>
    <x:mergeCell ref="B5:B8"/>
    <x:mergeCell ref="C5:C8"/>
    <x:mergeCell ref="D5:D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48FD62-08F0-45A0-9AC6-1D026731AC05}" mc:Ignorable="x14ac xr xr2 xr3">
  <x:sheetPr>
    <x:outlinePr summaryBelow="1" summaryRight="1"/>
  </x:sheetPr>
  <x:dimension ref="A1:J9"/>
  <x:sheetViews>
    <x:sheetView workbookViewId="0">
      <x:selection activeCell="A10" sqref="A10"/>
    </x:sheetView>
  </x:sheetViews>
  <x:sheetFormatPr defaultColWidth="8.726562" defaultRowHeight="14" x14ac:dyDescent="0.3"/>
  <x:cols>
    <x:col min="1" max="4" width="8.726562" style="1" customWidth="1"/>
    <x:col min="5" max="5" width="12.179688" style="1" bestFit="1" customWidth="1"/>
    <x:col min="6" max="16384" width="8.726562" style="1" customWidth="1"/>
  </x:cols>
  <x:sheetData>
    <x:row r="1" spans="1:10" ht="17.25" customHeight="1" s="36" customFormat="1" x14ac:dyDescent="0.3">
      <x:c r="A1" s="35" t="s">
        <x:v>24</x:v>
      </x:c>
      <x:c r="B1" s="35"/>
      <x:c r="C1" s="35"/>
      <x:c r="D1" s="35"/>
      <x:c r="E1" s="35" t="s">
        <x:v>25</x:v>
      </x:c>
      <x:c r="F1" s="35"/>
      <x:c r="G1" s="35"/>
      <x:c r="H1" s="35"/>
      <x:c r="I1" s="35"/>
      <x:c r="J1" s="35"/>
    </x:row>
    <x:row r="2" spans="1:10" ht="16.5" customHeight="1" s="36" customFormat="1" x14ac:dyDescent="0.35">
      <x:c r="A2" s="35" t="s">
        <x:v>26</x:v>
      </x:c>
      <x:c r="B2" s="35"/>
      <x:c r="C2" s="35"/>
      <x:c r="D2" s="35"/>
      <x:c r="E2" s="37" t="s">
        <x:v>27</x:v>
      </x:c>
      <x:c r="F2" s="37"/>
      <x:c r="G2" s="37"/>
      <x:c r="H2" s="37"/>
      <x:c r="I2" s="37"/>
      <x:c r="J2" s="37"/>
    </x:row>
    <x:row r="3" spans="1:10" ht="22.5" customHeight="1" s="36" customFormat="1" x14ac:dyDescent="0.3">
      <x:c r="A3" s="38" t="s">
        <x:v>28</x:v>
      </x:c>
      <x:c r="B3" s="38"/>
      <x:c r="C3" s="38"/>
      <x:c r="D3" s="38"/>
      <x:c r="E3" s="39" t="s">
        <x:v>29</x:v>
      </x:c>
      <x:c r="F3" s="39"/>
      <x:c r="G3" s="39"/>
      <x:c r="H3" s="39"/>
      <x:c r="I3" s="39"/>
      <x:c r="J3" s="39"/>
    </x:row>
    <x:row r="5" spans="1:10" x14ac:dyDescent="0.3">
      <x:c r="D5" s="1" t="s">
        <x:v>30</x:v>
      </x:c>
    </x:row>
    <x:row r="6" spans="1:10" x14ac:dyDescent="0.3">
      <x:c r="D6" s="1" t="s">
        <x:v>31</x:v>
      </x:c>
    </x:row>
    <x:row r="9" spans="1:10" x14ac:dyDescent="0.3">
      <x:c r="A9" s="1">
        <x:v>1</x:v>
      </x:c>
      <x:c r="B9" s="1" t="s">
        <x:v>14</x:v>
      </x:c>
      <x:c r="E9" s="40">
        <x:f>'DA1'!E6</x:f>
      </x:c>
    </x:row>
  </x:sheetData>
  <x:mergeCells count="6">
    <x:mergeCell ref="A1:D1"/>
    <x:mergeCell ref="E1:J1"/>
    <x:mergeCell ref="A2:D2"/>
    <x:mergeCell ref="E2:J2"/>
    <x:mergeCell ref="A3:D3"/>
    <x:mergeCell ref="E3:J3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AEFAC7E-9BCE-48AD-BDA9-25AD08275B8C}" mc:Ignorable="x14ac xr xr2 xr3">
  <x:sheetPr>
    <x:outlinePr summaryBelow="1" summaryRight="1"/>
  </x:sheetPr>
  <x:dimension ref="C4:C8"/>
  <x:sheetViews>
    <x:sheetView workbookViewId="0">
      <x:selection activeCell="E20" sqref="E20"/>
    </x:sheetView>
  </x:sheetViews>
  <x:sheetFormatPr defaultRowHeight="14.5" x14ac:dyDescent="0.35"/>
  <x:cols>
    <x:col min="1" max="2" width="9.140625" style="0" customWidth="1"/>
    <x:col min="3" max="3" width="30.453125" style="0" customWidth="1"/>
  </x:cols>
  <x:sheetData>
    <x:row r="4" spans="1:3" x14ac:dyDescent="0.35">
      <x:c r="C4" s="0" t="s">
        <x:v>1</x:v>
      </x:c>
    </x:row>
    <x:row r="5" spans="1:3" x14ac:dyDescent="0.35">
      <x:c r="C5" s="0" t="s">
        <x:v>32</x:v>
      </x:c>
    </x:row>
    <x:row r="6" spans="1:3" x14ac:dyDescent="0.35">
      <x:c r="C6" s="0" t="s">
        <x:v>33</x:v>
      </x:c>
    </x:row>
    <x:row r="7" spans="1:3" x14ac:dyDescent="0.35">
      <x:c r="C7" s="0" t="s">
        <x:v>34</x:v>
      </x:c>
    </x:row>
    <x:row r="8" spans="1:3" x14ac:dyDescent="0.35">
      <x:c r="C8" s="0" t="s">
        <x:v>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TH</vt:lpstr>
      <vt:lpstr>DA1</vt:lpstr>
      <vt:lpstr>DA2</vt:lpstr>
      <vt:lpstr>DA3</vt:lpstr>
      <vt:lpstr>DA4</vt:lpstr>
      <vt:lpstr>DA5</vt:lpstr>
      <vt:lpstr>Thông tri</vt:lpstr>
      <vt:lpstr>Sheet9</vt:lpstr>
      <vt:lpstr>TH!Print_Area</vt:lpstr>
      <vt:lpstr>TH!Print_Titles</vt:lpstr>
      <vt:lpstr>DA1!Print_Area</vt:lpstr>
      <vt:lpstr>DA1!Print_Titles</vt:lpstr>
      <vt:lpstr>DA2!Print_Area</vt:lpstr>
      <vt:lpstr>DA2!Print_Titles</vt:lpstr>
      <vt:lpstr>DA3!Print_Area</vt:lpstr>
      <vt:lpstr>DA3!Print_Titles</vt:lpstr>
      <vt:lpstr>DA4!Print_Area</vt:lpstr>
      <vt:lpstr>DA4!Print_Titles</vt:lpstr>
      <vt:lpstr>DA5!Print_Area</vt:lpstr>
      <vt:lpstr>DA5!Print_Titles</vt:lpstr>
      <vt:lpstr>Thông tri!Print_Area</vt:lpstr>
      <vt:lpstr>Thông tri!Print_Titles</vt:lpstr>
      <vt:lpstr>Sheet9!Print_Area</vt:lpstr>
      <vt:lpstr>Sheet9!Print_Titles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</dc:creator>
  <lastModifiedBy>Admin</lastModifiedBy>
  <dcterms:created xsi:type="dcterms:W3CDTF">2026-05-29T14:02:45.0000000Z</dcterms:created>
  <dcterms:modified xsi:type="dcterms:W3CDTF">2026-05-29T14:39:01.0000000Z</dcterms:modified>
</coreProperties>
</file>